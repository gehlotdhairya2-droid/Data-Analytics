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866be0cd9c43d32/Desktop/"/>
    </mc:Choice>
  </mc:AlternateContent>
  <xr:revisionPtr revIDLastSave="70" documentId="11_44916E48970AEDEF42C2151046D9E034757BA29E" xr6:coauthVersionLast="47" xr6:coauthVersionMax="47" xr10:uidLastSave="{4AD9C065-FC81-4726-BADD-F64C2D9F4004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C21" i="1"/>
  <c r="C24" i="1"/>
  <c r="C20" i="1"/>
  <c r="C18" i="1"/>
  <c r="C17" i="1"/>
  <c r="C16" i="1"/>
  <c r="C15" i="1"/>
  <c r="C14" i="1"/>
  <c r="C13" i="1"/>
  <c r="C11" i="1"/>
  <c r="C12" i="1"/>
</calcChain>
</file>

<file path=xl/sharedStrings.xml><?xml version="1.0" encoding="utf-8"?>
<sst xmlns="http://schemas.openxmlformats.org/spreadsheetml/2006/main" count="58" uniqueCount="37">
  <si>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</si>
  <si>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</si>
  <si>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</si>
  <si>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</si>
  <si>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</si>
  <si>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</si>
  <si>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</si>
  <si>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</si>
  <si>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</si>
  <si>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</si>
  <si>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</si>
  <si>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</si>
  <si>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</si>
  <si>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</si>
  <si>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</si>
  <si>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</si>
  <si>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</si>
  <si>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</si>
  <si>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</si>
  <si>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</si>
  <si>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</si>
  <si>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</si>
  <si>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</si>
  <si>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</si>
  <si>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</si>
  <si>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</si>
  <si>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</si>
  <si>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</si>
  <si>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</si>
  <si>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</si>
  <si>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</si>
  <si>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</si>
  <si>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Employee ID</t>
  </si>
  <si>
    <t>E115</t>
  </si>
  <si>
    <t>Bonus %</t>
  </si>
  <si>
    <t>Revenue</t>
  </si>
  <si>
    <t>E999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</si>
</sst>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F22" sqref="F22"/>
    </sheetView>
  </sheetViews>
  <sheetFormatPr defaultRowHeight="14.4" x14ac:dyDescent="0.3"/>
  <cols>
    <col min="1" max="1" width="12.44140625" customWidth="1"/>
    <col min="2" max="2" width="14.44140625" customWidth="1"/>
    <col min="3" max="3" width="11.77734375" customWidth="1"/>
    <col min="4" max="4" width="11.6640625" customWidth="1"/>
    <col min="5" max="5" width="10.5546875" customWidth="1"/>
    <col min="6" max="6" width="11.6640625" customWidth="1"/>
  </cols>
  <sheetData>
    <row r="1" spans="1:15" x14ac:dyDescent="0.3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J1" s="1" t="s">
        <v>1</v>
      </c>
      <c r="K1" s="1" t="s">
        <v>7</v>
      </c>
      <c r="L1" s="1" t="s">
        <v>11</v>
      </c>
      <c r="M1" s="1" t="s">
        <v>15</v>
      </c>
      <c r="N1" s="1" t="s">
        <v>19</v>
      </c>
      <c r="O1" s="1" t="s">
        <v>23</v>
      </c>
    </row>
    <row r="2" spans="1:15" x14ac:dyDescent="0.3">
      <c r="A2" t="s">
        <v>5</v>
      </c>
      <c r="B2" t="s">
        <v>6</v>
      </c>
      <c r="C2" t="s">
        <v>7</v>
      </c>
      <c r="D2" t="s">
        <v>8</v>
      </c>
      <c r="E2">
        <v>45000</v>
      </c>
      <c r="F2">
        <v>2019</v>
      </c>
      <c r="J2" t="s">
        <v>34</v>
      </c>
      <c r="K2" s="2">
        <v>0.1</v>
      </c>
      <c r="L2" s="2">
        <v>0.08</v>
      </c>
      <c r="M2" s="2">
        <v>0.12</v>
      </c>
      <c r="N2" s="2">
        <v>0.15</v>
      </c>
      <c r="O2" s="2">
        <v>0.09</v>
      </c>
    </row>
    <row r="3" spans="1:15" x14ac:dyDescent="0.3">
      <c r="A3" t="s">
        <v>9</v>
      </c>
      <c r="B3" t="s">
        <v>10</v>
      </c>
      <c r="C3" t="s">
        <v>11</v>
      </c>
      <c r="D3" t="s">
        <v>12</v>
      </c>
      <c r="E3">
        <v>52000</v>
      </c>
      <c r="F3">
        <v>2018</v>
      </c>
    </row>
    <row r="4" spans="1:15" x14ac:dyDescent="0.3">
      <c r="A4" t="s">
        <v>13</v>
      </c>
      <c r="B4" t="s">
        <v>14</v>
      </c>
      <c r="C4" t="s">
        <v>15</v>
      </c>
      <c r="D4" t="s">
        <v>16</v>
      </c>
      <c r="E4">
        <v>65000</v>
      </c>
      <c r="F4">
        <v>2020</v>
      </c>
    </row>
    <row r="5" spans="1:15" x14ac:dyDescent="0.3">
      <c r="A5" t="s">
        <v>17</v>
      </c>
      <c r="B5" t="s">
        <v>18</v>
      </c>
      <c r="C5" t="s">
        <v>19</v>
      </c>
      <c r="D5" t="s">
        <v>20</v>
      </c>
      <c r="E5">
        <v>58000</v>
      </c>
      <c r="F5">
        <v>2017</v>
      </c>
    </row>
    <row r="6" spans="1:15" x14ac:dyDescent="0.3">
      <c r="A6" t="s">
        <v>21</v>
      </c>
      <c r="B6" t="s">
        <v>22</v>
      </c>
      <c r="C6" t="s">
        <v>23</v>
      </c>
      <c r="D6" t="s">
        <v>8</v>
      </c>
      <c r="E6">
        <v>48000</v>
      </c>
      <c r="F6">
        <v>2021</v>
      </c>
    </row>
    <row r="7" spans="1:15" x14ac:dyDescent="0.3">
      <c r="A7" t="s">
        <v>24</v>
      </c>
      <c r="B7" t="s">
        <v>25</v>
      </c>
      <c r="C7" t="s">
        <v>15</v>
      </c>
      <c r="D7" t="s">
        <v>26</v>
      </c>
      <c r="E7">
        <v>62000</v>
      </c>
      <c r="F7">
        <v>2019</v>
      </c>
    </row>
    <row r="8" spans="1:15" x14ac:dyDescent="0.3">
      <c r="A8" t="s">
        <v>27</v>
      </c>
      <c r="B8" t="s">
        <v>28</v>
      </c>
      <c r="C8" t="s">
        <v>7</v>
      </c>
      <c r="D8" t="s">
        <v>29</v>
      </c>
      <c r="E8">
        <v>47000</v>
      </c>
      <c r="F8">
        <v>2020</v>
      </c>
    </row>
    <row r="9" spans="1:15" x14ac:dyDescent="0.3">
      <c r="A9" t="s">
        <v>30</v>
      </c>
      <c r="B9" t="s">
        <v>31</v>
      </c>
      <c r="C9" t="s">
        <v>11</v>
      </c>
      <c r="D9" t="s">
        <v>16</v>
      </c>
      <c r="E9">
        <v>54000</v>
      </c>
      <c r="F9">
        <v>2016</v>
      </c>
    </row>
    <row r="11" spans="1:15" x14ac:dyDescent="0.3">
      <c r="A11">
        <v>1</v>
      </c>
      <c r="B11" t="s">
        <v>5</v>
      </c>
      <c r="C11" t="str">
        <f>VLOOKUP(B11,A2:F10,2,0)</f>
        <v>Rahul Sharma</v>
      </c>
    </row>
    <row r="12" spans="1:15" x14ac:dyDescent="0.3">
      <c r="A12">
        <v>2</v>
      </c>
      <c r="B12" t="s">
        <v>13</v>
      </c>
      <c r="C12" t="str">
        <f>VLOOKUP(B12,A2:F9,3,0)</f>
        <v>IT</v>
      </c>
    </row>
    <row r="13" spans="1:15" x14ac:dyDescent="0.3">
      <c r="A13">
        <v>3</v>
      </c>
      <c r="B13" t="s">
        <v>18</v>
      </c>
      <c r="C13">
        <f>VLOOKUP(B13,B2:F9,4,0)</f>
        <v>58000</v>
      </c>
    </row>
    <row r="14" spans="1:15" x14ac:dyDescent="0.3">
      <c r="A14">
        <v>4</v>
      </c>
      <c r="B14" t="s">
        <v>27</v>
      </c>
      <c r="C14" t="str">
        <f>VLOOKUP(B14,A2:F9,4,0)</f>
        <v>Hyderabad</v>
      </c>
    </row>
    <row r="15" spans="1:15" x14ac:dyDescent="0.3">
      <c r="A15">
        <v>5</v>
      </c>
      <c r="B15" t="s">
        <v>33</v>
      </c>
      <c r="C15" t="str">
        <f>IFERROR(VLOOKUP(B15,A2:F9,2,0),"Not Found")</f>
        <v>Not Found</v>
      </c>
    </row>
    <row r="16" spans="1:15" x14ac:dyDescent="0.3">
      <c r="A16">
        <v>6</v>
      </c>
      <c r="B16" t="s">
        <v>5</v>
      </c>
      <c r="C16">
        <f>VLOOKUP(B16,A2:F9,6,0)</f>
        <v>2019</v>
      </c>
    </row>
    <row r="17" spans="1:3" x14ac:dyDescent="0.3">
      <c r="A17">
        <v>7</v>
      </c>
      <c r="B17" t="s">
        <v>15</v>
      </c>
      <c r="C17" s="3">
        <f>HLOOKUP(B17,J1:O2,2,0)</f>
        <v>0.12</v>
      </c>
    </row>
    <row r="18" spans="1:3" x14ac:dyDescent="0.3">
      <c r="A18">
        <v>8</v>
      </c>
      <c r="B18" t="s">
        <v>19</v>
      </c>
      <c r="C18" s="3">
        <f>HLOOKUP(B18,J1:O2,2,0)</f>
        <v>0.15</v>
      </c>
    </row>
    <row r="19" spans="1:3" x14ac:dyDescent="0.3">
      <c r="A19">
        <v>9</v>
      </c>
    </row>
    <row r="20" spans="1:3" x14ac:dyDescent="0.3">
      <c r="A20">
        <v>10</v>
      </c>
      <c r="B20" t="s">
        <v>35</v>
      </c>
      <c r="C20" t="str">
        <f>IFERROR(HLOOKUP(B20,J1:O2,2,0),"No Bonus Data")</f>
        <v>No Bonus Data</v>
      </c>
    </row>
    <row r="21" spans="1:3" x14ac:dyDescent="0.3">
      <c r="A21">
        <v>11</v>
      </c>
      <c r="B21" t="s">
        <v>5</v>
      </c>
      <c r="C21">
        <f>_xlfn.XLOOKUP(B21,A2:A9,E2:E9)</f>
        <v>45000</v>
      </c>
    </row>
    <row r="22" spans="1:3" x14ac:dyDescent="0.3">
      <c r="A22">
        <v>12</v>
      </c>
      <c r="B22" t="s">
        <v>6</v>
      </c>
      <c r="C22" t="str">
        <f>_xlfn.XLOOKUP(B23,B2:B9,D2:D9)</f>
        <v>Bangalore</v>
      </c>
    </row>
    <row r="23" spans="1:3" x14ac:dyDescent="0.3">
      <c r="A23">
        <v>13</v>
      </c>
      <c r="B23" t="s">
        <v>14</v>
      </c>
      <c r="C23" t="e">
        <f>_xlfn.XLOOKUP(B23,B3:B9,C2:C9)</f>
        <v>#VALUE!</v>
      </c>
    </row>
    <row r="24" spans="1:3" x14ac:dyDescent="0.3">
      <c r="A24">
        <v>14</v>
      </c>
      <c r="B24" t="s">
        <v>36</v>
      </c>
      <c r="C24" t="str">
        <f>IFERROR(_xlfn.XLOOKUP(B24,A2:A9,B2:B9),"Employee not found")</f>
        <v>Employee not found</v>
      </c>
    </row>
    <row r="25" spans="1:3" x14ac:dyDescent="0.3">
      <c r="A2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DHAIRYA</dc:creator>
  <cp:lastModifiedBy>Dhairya Gehlot</cp:lastModifiedBy>
  <dcterms:created xsi:type="dcterms:W3CDTF">2025-07-21T09:59:32Z</dcterms:created>
  <dcterms:modified xsi:type="dcterms:W3CDTF">2026-02-10T10:12:16Z</dcterms:modified>
</cp:coreProperties>
</file>