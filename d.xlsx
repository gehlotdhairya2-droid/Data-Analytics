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P\Desktop\GIT HUB-dg\Data-Analytics\"/>
    </mc:Choice>
  </mc:AlternateContent>
  <xr:revisionPtr revIDLastSave="0" documentId="13_ncr:1_{7A417834-C3D7-4CA5-936A-535DADE09ED4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Sheet1" sheetId="1" r:id="rId1"/>
    <sheet name="Basic Data Entry" sheetId="2" r:id="rId2"/>
    <sheet name="BAsic Data Entry 2" sheetId="3" r:id="rId3"/>
    <sheet name="Sheet4" sheetId="4" r:id="rId4"/>
    <sheet name="task" sheetId="5" r:id="rId5"/>
    <sheet name="Sheet3" sheetId="6" r:id="rId6"/>
    <sheet name="Sheet5" sheetId="7" r:id="rId7"/>
    <sheet name="Sheet2" sheetId="8" r:id="rId8"/>
    <sheet name="Sheet6" sheetId="9" r:id="rId9"/>
    <sheet name="Sheet7" sheetId="10" r:id="rId10"/>
    <sheet name="Sheet8" sheetId="11" r:id="rId11"/>
    <sheet name="Sheet9" sheetId="12" r:id="rId12"/>
    <sheet name="Sheet10" sheetId="13" r:id="rId13"/>
    <sheet name="Sheet11" sheetId="14" r:id="rId14"/>
  </sheets>
  <definedNames>
    <definedName name="_xlnm._FilterDatabase" localSheetId="11" hidden="1">Sheet9!$B$2:$B$20</definedName>
    <definedName name="_xlchart.v1.0" hidden="1">Sheet1!$C$81:$C$84</definedName>
    <definedName name="_xlchart.v1.1" hidden="1">Sheet1!$D$80</definedName>
    <definedName name="_xlchart.v1.2" hidden="1">Sheet1!$D$81:$D$84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11" l="1"/>
  <c r="B2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" i="10"/>
  <c r="C23" i="9"/>
  <c r="C22" i="9"/>
  <c r="G9" i="9"/>
  <c r="G10" i="9"/>
  <c r="G12" i="9"/>
  <c r="C21" i="9"/>
  <c r="G11" i="9"/>
  <c r="C25" i="8"/>
  <c r="C24" i="8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12" i="5"/>
  <c r="E9" i="5"/>
  <c r="E10" i="5"/>
  <c r="E11" i="5"/>
  <c r="E8" i="5"/>
  <c r="D31" i="3"/>
  <c r="D30" i="3"/>
  <c r="D29" i="3"/>
  <c r="D28" i="3"/>
  <c r="D27" i="3"/>
  <c r="D26" i="3"/>
  <c r="D25" i="3"/>
  <c r="D24" i="3"/>
  <c r="D23" i="3"/>
  <c r="D22" i="3"/>
  <c r="D3" i="3"/>
  <c r="D4" i="3"/>
  <c r="D5" i="3"/>
  <c r="D6" i="3"/>
  <c r="D7" i="3"/>
  <c r="D8" i="3"/>
  <c r="D9" i="3"/>
  <c r="D10" i="3"/>
  <c r="D11" i="3"/>
  <c r="D2" i="3"/>
  <c r="N12" i="3"/>
  <c r="D12" i="2"/>
  <c r="C12" i="2"/>
  <c r="C23" i="8" l="1"/>
  <c r="C22" i="8"/>
</calcChain>
</file>

<file path=xl/sharedStrings.xml><?xml version="1.0" encoding="utf-8"?>
<sst xmlns="http://schemas.openxmlformats.org/spreadsheetml/2006/main" count="768" uniqueCount="300">
  <si>
    <t>Month</t>
  </si>
  <si>
    <t>Attendance (%)</t>
  </si>
  <si>
    <t>Jan</t>
  </si>
  <si>
    <t>Feb</t>
  </si>
  <si>
    <t>Mar</t>
  </si>
  <si>
    <t>Apr</t>
  </si>
  <si>
    <t>May</t>
  </si>
  <si>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</si>
  <si>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</si>
  <si>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</si>
  <si>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</si>
  <si>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</si>
  <si>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</si>
  <si>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</si>
  <si>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</si>
  <si>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</si>
  <si>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</si>
  <si>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</si>
  <si>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</si>
  <si>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</si>
  <si>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</si>
  <si>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</si>
  <si>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</si>
  <si>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</si>
  <si>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</si>
  <si>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</si>
  <si>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</si>
  <si>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</si>
  <si>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</si>
  <si>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</si>
  <si>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</si>
  <si>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</si>
  <si>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Marks Range</t>
  </si>
  <si>
    <t>0–40</t>
  </si>
  <si>
    <t>41–60</t>
  </si>
  <si>
    <t>61–80</t>
  </si>
  <si>
    <t>81–100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</si>
  <si>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</si>
  <si>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</si>
  <si>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</si>
  <si>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</si>
  <si>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</si>
  <si>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</si>
  <si>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</si>
  <si>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</si>
  <si>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</si>
  <si>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</si>
  <si>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</si>
  <si>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</si>
  <si>
    <t>Sr.No.</t>
  </si>
  <si>
    <t>Name</t>
  </si>
  <si>
    <t xml:space="preserve">Ram </t>
  </si>
  <si>
    <t>Shyam</t>
  </si>
  <si>
    <t>Mohan</t>
  </si>
  <si>
    <t>Naresh</t>
  </si>
  <si>
    <t>Geeta</t>
  </si>
  <si>
    <t>Sita</t>
  </si>
  <si>
    <t>jai</t>
  </si>
  <si>
    <t>Smit</t>
  </si>
  <si>
    <t>Dhairya</t>
  </si>
  <si>
    <t>Om</t>
  </si>
  <si>
    <t>Age</t>
  </si>
  <si>
    <t>Salary</t>
  </si>
  <si>
    <t>Email</t>
  </si>
  <si>
    <t>ram@gmail.com</t>
  </si>
  <si>
    <t>shyam@gmail.com</t>
  </si>
  <si>
    <t>mohan@gmail.com</t>
  </si>
  <si>
    <t>naresh@gmail.com</t>
  </si>
  <si>
    <t>geeta@gmail.com</t>
  </si>
  <si>
    <t>sita@gmail.com</t>
  </si>
  <si>
    <t>jai@gmail.com</t>
  </si>
  <si>
    <t>smit@gmail.com</t>
  </si>
  <si>
    <t>dhairya@gmail.com</t>
  </si>
  <si>
    <t>om@gmail.com</t>
  </si>
  <si>
    <t>Total</t>
  </si>
  <si>
    <t>Surname</t>
  </si>
  <si>
    <t>Patel</t>
  </si>
  <si>
    <t>Shah</t>
  </si>
  <si>
    <t>Gehlot</t>
  </si>
  <si>
    <t>Lalwani</t>
  </si>
  <si>
    <t>Joshi</t>
  </si>
  <si>
    <t>Dave</t>
  </si>
  <si>
    <t>Malhotra</t>
  </si>
  <si>
    <t>Tripathi</t>
  </si>
  <si>
    <t>Full Name</t>
  </si>
  <si>
    <t>Mobile No.</t>
  </si>
  <si>
    <t xml:space="preserve">Full Name as Values </t>
  </si>
  <si>
    <t>Ram  Patel</t>
  </si>
  <si>
    <t>Shyam Shah</t>
  </si>
  <si>
    <t>Mohan Gehlot</t>
  </si>
  <si>
    <t>Naresh Patel</t>
  </si>
  <si>
    <t>Geeta Lalwani</t>
  </si>
  <si>
    <t>Sita Joshi</t>
  </si>
  <si>
    <t>jai Dave</t>
  </si>
  <si>
    <t>Smit Malhotra</t>
  </si>
  <si>
    <t>Dhairya Gehlot</t>
  </si>
  <si>
    <t>Om Tripathi</t>
  </si>
  <si>
    <t xml:space="preserve">Split First Name </t>
  </si>
  <si>
    <t xml:space="preserve">Split Last Name </t>
  </si>
  <si>
    <t>Ram</t>
  </si>
  <si>
    <t>Email.Id</t>
  </si>
  <si>
    <t>Username</t>
  </si>
  <si>
    <t>Domain</t>
  </si>
  <si>
    <t>Top Level Domain</t>
  </si>
  <si>
    <t>ram</t>
  </si>
  <si>
    <t>shyam</t>
  </si>
  <si>
    <t>mohan</t>
  </si>
  <si>
    <t>naresh</t>
  </si>
  <si>
    <t>geeta</t>
  </si>
  <si>
    <t>sita</t>
  </si>
  <si>
    <t>smit</t>
  </si>
  <si>
    <t>dhairya</t>
  </si>
  <si>
    <t>om</t>
  </si>
  <si>
    <t>gmail</t>
  </si>
  <si>
    <t>com</t>
  </si>
  <si>
    <t>24.01.2026</t>
  </si>
  <si>
    <t>Employee ID</t>
  </si>
  <si>
    <t>Department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</si>
  <si>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</si>
  <si>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</si>
  <si>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</si>
  <si>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</si>
  <si>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</si>
  <si>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</si>
  <si>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</si>
  <si>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</si>
  <si>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</si>
  <si>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</si>
  <si>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</si>
  <si>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</si>
  <si>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</si>
  <si>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</si>
  <si>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</si>
  <si>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</si>
  <si>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</si>
  <si>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</si>
  <si>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</si>
  <si>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</si>
  <si>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</si>
  <si>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</si>
  <si>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</si>
  <si>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</si>
  <si>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</si>
  <si>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</si>
  <si>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</si>
  <si>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</si>
  <si>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</si>
  <si>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</si>
  <si>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Riya Paatel</t>
  </si>
  <si>
    <t>Zoya Patel</t>
  </si>
  <si>
    <t>Divya Soni</t>
  </si>
  <si>
    <t>Ram Patel</t>
  </si>
  <si>
    <t>Smith  Shah</t>
  </si>
  <si>
    <t>Padm Shah</t>
  </si>
  <si>
    <t>Neev Joshi</t>
  </si>
  <si>
    <t>Harsh Tayal</t>
  </si>
  <si>
    <t>Nirvaan Shamal</t>
  </si>
  <si>
    <t>Yashvi Patel</t>
  </si>
  <si>
    <t>Visva Thakkar</t>
  </si>
  <si>
    <t>Jiya shah</t>
  </si>
  <si>
    <t>Gautam Adani</t>
  </si>
  <si>
    <t>Anne Frank</t>
  </si>
  <si>
    <t>Format header row (Bold, Color)</t>
  </si>
  <si>
    <t>Salary → Currency (₹)</t>
  </si>
  <si>
    <t>Date → Date format</t>
  </si>
  <si>
    <t>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</si>
  <si>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</si>
  <si>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</si>
  <si>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</si>
  <si>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</si>
  <si>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</si>
  <si>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</si>
  <si>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</si>
  <si>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</si>
  <si>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</si>
  <si>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</si>
  <si>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</si>
  <si>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</si>
  <si>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</si>
  <si>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</si>
  <si>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</si>
  <si>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</si>
  <si>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</si>
  <si>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Laptop Dell Inspiron 16</t>
  </si>
  <si>
    <t>Laptop Dell Inspiron 17</t>
  </si>
  <si>
    <t>Laptop Dell Inspiron 18</t>
  </si>
  <si>
    <t>Laptop Dell Inspiron 19</t>
  </si>
  <si>
    <t xml:space="preserve">Add title Monthly Sales Report
Merge &amp; center title
Wrap text for product names
Currency format for sales
</t>
  </si>
  <si>
    <t>Student Name</t>
  </si>
  <si>
    <t>Maths</t>
  </si>
  <si>
    <t>Aakash</t>
  </si>
  <si>
    <t>Bhavya</t>
  </si>
  <si>
    <t>Chirag</t>
  </si>
  <si>
    <t>Divya</t>
  </si>
  <si>
    <t>Esha</t>
  </si>
  <si>
    <t>Roll No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</si>
  <si>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</si>
  <si>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</si>
  <si>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</si>
  <si>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</si>
  <si>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</si>
  <si>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</si>
  <si>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</si>
  <si>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</si>
  <si>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</si>
  <si>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</si>
  <si>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</si>
  <si>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</si>
  <si>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</si>
  <si>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</si>
  <si>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</si>
  <si>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</si>
  <si>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</si>
  <si>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</si>
  <si>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</si>
  <si>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</si>
  <si>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</si>
  <si>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</si>
  <si>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Average Sales </t>
  </si>
  <si>
    <t>TOTAL</t>
  </si>
  <si>
    <t>MAXIMUM SALES</t>
  </si>
  <si>
    <t>MINIMUM SALES</t>
  </si>
  <si>
    <t>Calculate Total Sales</t>
  </si>
  <si>
    <t>Find Average Sales</t>
  </si>
  <si>
    <t>Identify Highest &amp; Lowest Sale</t>
  </si>
  <si>
    <t>Suresh</t>
  </si>
  <si>
    <t>Meena</t>
  </si>
  <si>
    <t>Karan</t>
  </si>
  <si>
    <t>Ritu</t>
  </si>
  <si>
    <t>Aman</t>
  </si>
  <si>
    <t>Neel</t>
  </si>
  <si>
    <t>Employee Name</t>
  </si>
  <si>
    <t>Riya</t>
  </si>
  <si>
    <t xml:space="preserve">Salary Per Department </t>
  </si>
  <si>
    <t>AVERAGE  SALARY</t>
  </si>
  <si>
    <t>COUNT EMPLOYEES</t>
  </si>
  <si>
    <t>Total salary per department</t>
  </si>
  <si>
    <t>Average salary</t>
  </si>
  <si>
    <t>Count employees</t>
  </si>
  <si>
    <t>Questions</t>
  </si>
  <si>
    <t>Day 1</t>
  </si>
  <si>
    <t>Day 2</t>
  </si>
  <si>
    <t>Day 3</t>
  </si>
  <si>
    <t>Day 4</t>
  </si>
  <si>
    <t>Day 5</t>
  </si>
  <si>
    <t>P</t>
  </si>
  <si>
    <t>A</t>
  </si>
  <si>
    <t>present</t>
  </si>
  <si>
    <t>absent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</si>
  <si>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</si>
  <si>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</si>
  <si>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</si>
  <si>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</si>
  <si>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</si>
  <si>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</si>
  <si>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</si>
  <si>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</si>
  <si>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</si>
  <si>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</si>
  <si>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</si>
  <si>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</si>
  <si>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</si>
  <si>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</si>
  <si>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</si>
  <si>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</si>
  <si>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</si>
  <si>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</si>
  <si>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</si>
  <si>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</si>
  <si>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</si>
  <si>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Sales above 10,000</t>
  </si>
  <si>
    <t>Sales above 5000</t>
  </si>
  <si>
    <t>Headphones</t>
  </si>
  <si>
    <t>Laptop</t>
  </si>
  <si>
    <t>Keyboard</t>
  </si>
  <si>
    <t>Tablet</t>
  </si>
  <si>
    <t>Product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</si>
  <si>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</si>
  <si>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</si>
  <si>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</si>
  <si>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</si>
  <si>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</si>
  <si>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</si>
  <si>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</si>
  <si>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</si>
  <si>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Count Present days</t>
  </si>
  <si>
    <t>Count Absent days</t>
  </si>
  <si>
    <t>Count sales above 10000</t>
  </si>
  <si>
    <t>Count sales below 5000</t>
  </si>
  <si>
    <t>QUESTIONS</t>
  </si>
  <si>
    <t>Highlight sales &gt; 20000 (Green)</t>
  </si>
  <si>
    <t>Highlight sales &lt; 5000 (Red)</t>
  </si>
  <si>
    <t>Marks ≥ 75 → Green</t>
  </si>
  <si>
    <t>Marks &lt; 40 → Red</t>
  </si>
  <si>
    <t>≥ 50000 → Dark Green</t>
  </si>
  <si>
    <t>30000–49999 → Yellow</t>
  </si>
  <si>
    <t>&lt; 30000 → Light Red</t>
  </si>
  <si>
    <t>Calculate Percentage</t>
  </si>
  <si>
    <t>Format percentage column</t>
  </si>
  <si>
    <t>Apply cell styles to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</si>
</sst>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20" x14ac:knownFonts="1">
    <font>
      <sz val="11"/>
      <color theme="1"/>
      <name val="Candara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u/>
      <sz val="11"/>
      <color theme="10"/>
      <name val="Candara"/>
      <family val="2"/>
      <scheme val="minor"/>
    </font>
    <font>
      <b/>
      <i/>
      <u/>
      <sz val="11"/>
      <color theme="1"/>
      <name val="Candara"/>
      <family val="2"/>
      <scheme val="minor"/>
    </font>
    <font>
      <sz val="11"/>
      <color theme="1"/>
      <name val="Candara"/>
      <family val="2"/>
      <scheme val="minor"/>
    </font>
    <font>
      <sz val="16"/>
      <color theme="1"/>
      <name val="Candara"/>
      <family val="2"/>
      <scheme val="minor"/>
    </font>
    <font>
      <sz val="12"/>
      <color theme="0"/>
      <name val="Segoe UI"/>
      <family val="2"/>
    </font>
    <font>
      <sz val="8"/>
      <name val="Candara"/>
      <family val="2"/>
      <scheme val="minor"/>
    </font>
    <font>
      <sz val="11"/>
      <color theme="1"/>
      <name val="Calibri"/>
      <family val="2"/>
    </font>
    <font>
      <sz val="12"/>
      <color theme="0"/>
      <name val="Segoe UI"/>
      <family val="2"/>
    </font>
    <font>
      <sz val="12"/>
      <color rgb="FF1F2328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b/>
      <i/>
      <u/>
      <sz val="12"/>
      <color theme="0"/>
      <name val="Calibri"/>
      <family val="2"/>
    </font>
    <font>
      <b/>
      <i/>
      <u val="double"/>
      <sz val="16"/>
      <color theme="0"/>
      <name val="Candara"/>
      <family val="2"/>
      <scheme val="minor"/>
    </font>
    <font>
      <b/>
      <i/>
      <sz val="12"/>
      <color theme="0"/>
      <name val="Segoe UI"/>
      <family val="2"/>
    </font>
    <font>
      <b/>
      <i/>
      <u/>
      <sz val="11"/>
      <color theme="0"/>
      <name val="Candara"/>
      <family val="2"/>
      <scheme val="minor"/>
    </font>
    <font>
      <b/>
      <i/>
      <u/>
      <sz val="11"/>
      <color theme="0"/>
      <name val="Calibri"/>
      <family val="2"/>
    </font>
    <font>
      <i/>
      <u/>
      <sz val="11"/>
      <color theme="0"/>
      <name val="Candar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26">
    <border>
      <left/>
      <right/>
      <top/>
      <bottom/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1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9" fontId="2" fillId="3" borderId="2" xfId="0" applyNumberFormat="1" applyFont="1" applyFill="1" applyBorder="1" applyAlignment="1">
      <alignment horizontal="left" vertical="center" wrapText="1" indent="1"/>
    </xf>
    <xf numFmtId="9" fontId="2" fillId="3" borderId="6" xfId="0" applyNumberFormat="1" applyFont="1" applyFill="1" applyBorder="1" applyAlignment="1">
      <alignment horizontal="left" vertical="center" wrapText="1" indent="1"/>
    </xf>
    <xf numFmtId="0" fontId="0" fillId="4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3" fillId="6" borderId="7" xfId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0" borderId="0" xfId="0" applyFont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3" fillId="6" borderId="12" xfId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" fillId="7" borderId="7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7" borderId="7" xfId="0" applyFont="1" applyFill="1" applyBorder="1" applyAlignment="1">
      <alignment horizontal="left" vertical="center" indent="1"/>
    </xf>
    <xf numFmtId="164" fontId="1" fillId="7" borderId="7" xfId="0" applyNumberFormat="1" applyFont="1" applyFill="1" applyBorder="1" applyAlignment="1">
      <alignment horizontal="left" vertical="center" wrapText="1"/>
    </xf>
    <xf numFmtId="164" fontId="0" fillId="7" borderId="7" xfId="0" applyNumberFormat="1" applyFill="1" applyBorder="1" applyAlignment="1">
      <alignment horizontal="left" vertic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14" fontId="1" fillId="2" borderId="7" xfId="0" applyNumberFormat="1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0" fillId="0" borderId="7" xfId="0" applyBorder="1" applyAlignment="1"/>
    <xf numFmtId="0" fontId="9" fillId="0" borderId="7" xfId="0" applyFont="1" applyFill="1" applyBorder="1" applyAlignment="1">
      <alignment horizontal="left" vertical="top"/>
    </xf>
    <xf numFmtId="0" fontId="10" fillId="9" borderId="7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1" fillId="3" borderId="7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9" fillId="10" borderId="7" xfId="0" applyFont="1" applyFill="1" applyBorder="1" applyAlignment="1">
      <alignment horizontal="left" vertical="top"/>
    </xf>
    <xf numFmtId="0" fontId="11" fillId="10" borderId="7" xfId="0" applyFont="1" applyFill="1" applyBorder="1" applyAlignment="1">
      <alignment horizontal="left" vertical="top"/>
    </xf>
    <xf numFmtId="0" fontId="9" fillId="10" borderId="7" xfId="0" applyFont="1" applyFill="1" applyBorder="1"/>
    <xf numFmtId="1" fontId="9" fillId="10" borderId="7" xfId="0" applyNumberFormat="1" applyFont="1" applyFill="1" applyBorder="1"/>
    <xf numFmtId="2" fontId="9" fillId="10" borderId="7" xfId="0" applyNumberFormat="1" applyFont="1" applyFill="1" applyBorder="1"/>
    <xf numFmtId="0" fontId="13" fillId="9" borderId="7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left" vertical="top"/>
    </xf>
    <xf numFmtId="0" fontId="12" fillId="9" borderId="7" xfId="0" applyFont="1" applyFill="1" applyBorder="1" applyAlignment="1">
      <alignment horizontal="left" vertical="top" wrapText="1"/>
    </xf>
    <xf numFmtId="0" fontId="11" fillId="10" borderId="7" xfId="0" applyFont="1" applyFill="1" applyBorder="1" applyAlignment="1">
      <alignment horizontal="left" vertical="top" wrapText="1"/>
    </xf>
    <xf numFmtId="0" fontId="9" fillId="10" borderId="7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3" fillId="9" borderId="0" xfId="0" applyFont="1" applyFill="1"/>
    <xf numFmtId="0" fontId="1" fillId="0" borderId="7" xfId="0" applyFont="1" applyBorder="1" applyAlignment="1">
      <alignment horizontal="left" vertical="center" wrapText="1" indent="1"/>
    </xf>
    <xf numFmtId="0" fontId="11" fillId="2" borderId="7" xfId="0" applyFont="1" applyFill="1" applyBorder="1" applyAlignment="1">
      <alignment horizontal="left" vertical="top" wrapText="1"/>
    </xf>
    <xf numFmtId="0" fontId="11" fillId="3" borderId="7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left" vertical="top" wrapText="1" indent="1"/>
    </xf>
    <xf numFmtId="0" fontId="11" fillId="3" borderId="16" xfId="0" applyFont="1" applyFill="1" applyBorder="1" applyAlignment="1">
      <alignment horizontal="left" vertical="top" wrapText="1" indent="1"/>
    </xf>
    <xf numFmtId="0" fontId="11" fillId="10" borderId="17" xfId="0" applyFont="1" applyFill="1" applyBorder="1" applyAlignment="1">
      <alignment horizontal="left" vertical="top" wrapText="1"/>
    </xf>
    <xf numFmtId="0" fontId="11" fillId="2" borderId="7" xfId="0" applyFont="1" applyFill="1" applyBorder="1" applyAlignment="1">
      <alignment horizontal="left" vertical="top" wrapText="1" indent="1"/>
    </xf>
    <xf numFmtId="0" fontId="11" fillId="3" borderId="7" xfId="0" applyFont="1" applyFill="1" applyBorder="1" applyAlignment="1">
      <alignment horizontal="left" vertical="top" wrapText="1" indent="1"/>
    </xf>
    <xf numFmtId="0" fontId="11" fillId="3" borderId="7" xfId="0" applyFont="1" applyFill="1" applyBorder="1" applyAlignment="1">
      <alignment horizontal="left" vertical="center" wrapText="1"/>
    </xf>
    <xf numFmtId="0" fontId="11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left" vertical="center" wrapText="1"/>
    </xf>
    <xf numFmtId="0" fontId="11" fillId="10" borderId="7" xfId="0" applyFont="1" applyFill="1" applyBorder="1" applyAlignment="1">
      <alignment horizontal="left" vertical="center"/>
    </xf>
    <xf numFmtId="0" fontId="11" fillId="10" borderId="17" xfId="0" applyFont="1" applyFill="1" applyBorder="1" applyAlignment="1">
      <alignment horizontal="left" vertical="center"/>
    </xf>
    <xf numFmtId="0" fontId="14" fillId="9" borderId="7" xfId="0" applyFont="1" applyFill="1" applyBorder="1" applyAlignment="1">
      <alignment horizontal="left" vertical="center"/>
    </xf>
    <xf numFmtId="0" fontId="14" fillId="9" borderId="16" xfId="0" applyFont="1" applyFill="1" applyBorder="1" applyAlignment="1">
      <alignment horizontal="left" vertical="top"/>
    </xf>
    <xf numFmtId="0" fontId="15" fillId="9" borderId="7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 wrapText="1"/>
    </xf>
    <xf numFmtId="0" fontId="17" fillId="9" borderId="0" xfId="0" applyFont="1" applyFill="1"/>
    <xf numFmtId="0" fontId="14" fillId="9" borderId="7" xfId="0" applyFont="1" applyFill="1" applyBorder="1" applyAlignment="1">
      <alignment horizontal="left" vertical="top"/>
    </xf>
    <xf numFmtId="0" fontId="9" fillId="0" borderId="7" xfId="0" applyFont="1" applyBorder="1" applyAlignment="1"/>
    <xf numFmtId="0" fontId="17" fillId="9" borderId="0" xfId="0" applyFont="1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13" fillId="9" borderId="0" xfId="0" applyFont="1" applyFill="1" applyAlignment="1">
      <alignment horizontal="left" vertical="top"/>
    </xf>
    <xf numFmtId="0" fontId="18" fillId="9" borderId="0" xfId="0" applyFont="1" applyFill="1" applyAlignment="1">
      <alignment horizontal="left" vertical="top"/>
    </xf>
    <xf numFmtId="0" fontId="13" fillId="9" borderId="7" xfId="0" applyFont="1" applyFill="1" applyBorder="1" applyAlignment="1">
      <alignment horizontal="left" vertical="top"/>
    </xf>
    <xf numFmtId="0" fontId="14" fillId="9" borderId="18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wrapText="1"/>
    </xf>
    <xf numFmtId="0" fontId="17" fillId="9" borderId="7" xfId="0" applyFont="1" applyFill="1" applyBorder="1"/>
    <xf numFmtId="0" fontId="14" fillId="9" borderId="7" xfId="0" applyFont="1" applyFill="1" applyBorder="1" applyAlignment="1">
      <alignment horizontal="left" vertical="center" wrapText="1"/>
    </xf>
    <xf numFmtId="0" fontId="18" fillId="9" borderId="0" xfId="0" applyFont="1" applyFill="1"/>
    <xf numFmtId="9" fontId="11" fillId="10" borderId="7" xfId="2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7" fillId="11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5" fontId="1" fillId="7" borderId="7" xfId="0" applyNumberFormat="1" applyFont="1" applyFill="1" applyBorder="1" applyAlignment="1">
      <alignment horizontal="left" vertical="center" wrapText="1"/>
    </xf>
    <xf numFmtId="0" fontId="0" fillId="7" borderId="7" xfId="0" applyFill="1" applyBorder="1" applyAlignment="1">
      <alignment wrapText="1"/>
    </xf>
    <xf numFmtId="0" fontId="19" fillId="11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165" fontId="1" fillId="7" borderId="20" xfId="0" applyNumberFormat="1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165" fontId="1" fillId="7" borderId="25" xfId="0" applyNumberFormat="1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vertical="center"/>
    </xf>
    <xf numFmtId="0" fontId="7" fillId="8" borderId="17" xfId="0" applyFont="1" applyFill="1" applyBorder="1" applyAlignment="1">
      <alignment vertical="center"/>
    </xf>
    <xf numFmtId="164" fontId="7" fillId="8" borderId="17" xfId="0" applyNumberFormat="1" applyFont="1" applyFill="1" applyBorder="1" applyAlignment="1">
      <alignment vertical="center"/>
    </xf>
    <xf numFmtId="165" fontId="7" fillId="8" borderId="22" xfId="0" applyNumberFormat="1" applyFont="1" applyFill="1" applyBorder="1" applyAlignment="1">
      <alignment vertical="center"/>
    </xf>
    <xf numFmtId="0" fontId="0" fillId="7" borderId="24" xfId="0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66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65" formatCode="[$-F800]dddd\,\ mmmm\ dd\,\ 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64" formatCode="&quot;₹&quot;\ 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79722222222222"/>
          <c:y val="3.3155719622703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8-44F7-BC4C-F863C8EFF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680720"/>
        <c:axId val="1427681552"/>
      </c:lineChart>
      <c:catAx>
        <c:axId val="142768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81552"/>
        <c:crosses val="autoZero"/>
        <c:auto val="1"/>
        <c:lblAlgn val="ctr"/>
        <c:lblOffset val="100"/>
        <c:noMultiLvlLbl val="0"/>
      </c:catAx>
      <c:valAx>
        <c:axId val="14276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8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Sheet1!$B$19:$B$23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Sheet1!$C$19:$C$23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2-4F51-900F-C7AF8FCA6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29632"/>
        <c:axId val="1448777216"/>
      </c:barChart>
      <c:catAx>
        <c:axId val="14508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7216"/>
        <c:crosses val="autoZero"/>
        <c:auto val="1"/>
        <c:lblAlgn val="ctr"/>
        <c:lblOffset val="100"/>
        <c:noMultiLvlLbl val="0"/>
      </c:catAx>
      <c:valAx>
        <c:axId val="14487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2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Sheet1!$D$35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Sheet1!$C$36:$C$39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Sheet1!$D$36:$D$39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5-4A4D-A881-5C32FB3A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3070000"/>
        <c:axId val="1423070832"/>
      </c:barChart>
      <c:catAx>
        <c:axId val="142307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70832"/>
        <c:crosses val="autoZero"/>
        <c:auto val="1"/>
        <c:lblAlgn val="ctr"/>
        <c:lblOffset val="100"/>
        <c:noMultiLvlLbl val="0"/>
      </c:catAx>
      <c:valAx>
        <c:axId val="14230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7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Sheet1!$D$53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F7-4DA3-BA0A-45439B372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F7-4DA3-BA0A-45439B372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F7-4DA3-BA0A-45439B3729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F7-4DA3-BA0A-45439B3729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F7-4DA3-BA0A-45439B372942}"/>
              </c:ext>
            </c:extLst>
          </c:dPt>
          <c:cat>
            <c:strRef>
              <c:f>Sheet1!$C$54:$C$58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Sheet1!$D$54:$D$58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C-45DA-A74F-A7FC87320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11832895888011"/>
          <c:y val="0.24115740740740746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Sheet1!$D$67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17-41F9-870E-4C3969FFAB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17-41F9-870E-4C3969FFAB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17-41F9-870E-4C3969FFAB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17-41F9-870E-4C3969FFAB04}"/>
              </c:ext>
            </c:extLst>
          </c:dPt>
          <c:cat>
            <c:strRef>
              <c:f>Sheet1!$C$68:$C$71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Sheet1!$D$68:$D$71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8-4510-9348-A0A206654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Sheet1!$D$95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Sheet1!$C$96:$C$99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Sheet1!$D$96:$D$99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0-4922-B786-AF0FAE8C6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829216"/>
        <c:axId val="1450830464"/>
      </c:barChart>
      <c:catAx>
        <c:axId val="14508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30464"/>
        <c:crosses val="autoZero"/>
        <c:auto val="1"/>
        <c:lblAlgn val="ctr"/>
        <c:lblOffset val="100"/>
        <c:noMultiLvlLbl val="0"/>
      </c:catAx>
      <c:valAx>
        <c:axId val="145083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2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Sheet1!$D$113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Sheet1!$C$114:$C$118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Sheet1!$D$114:$D$118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5-41A8-AA2E-E54E72CD8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890784"/>
        <c:axId val="1436887872"/>
      </c:lineChart>
      <c:catAx>
        <c:axId val="143689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887872"/>
        <c:crosses val="autoZero"/>
        <c:auto val="1"/>
        <c:lblAlgn val="ctr"/>
        <c:lblOffset val="100"/>
        <c:noMultiLvlLbl val="0"/>
      </c:catAx>
      <c:valAx>
        <c:axId val="143688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89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Sheet1!$D$128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Sheet1!$C$129:$C$132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Sheet1!$D$129:$D$132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4-4128-9006-5F0DBF39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0754080"/>
        <c:axId val="1450830048"/>
      </c:barChart>
      <c:catAx>
        <c:axId val="145075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830048"/>
        <c:crosses val="autoZero"/>
        <c:auto val="1"/>
        <c:lblAlgn val="ctr"/>
        <c:lblOffset val="100"/>
        <c:noMultiLvlLbl val="0"/>
      </c:catAx>
      <c:valAx>
        <c:axId val="145083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7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Sheet1!$D$145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B4-442B-B0D7-3EBAD6BDBC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B4-442B-B0D7-3EBAD6BDBC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B4-442B-B0D7-3EBAD6BDBC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B4-442B-B0D7-3EBAD6BDBCF5}"/>
              </c:ext>
            </c:extLst>
          </c:dPt>
          <c:cat>
            <c:strRef>
              <c:f>Sheet1!$C$146:$C$149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Sheet1!$D$146:$D$149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9-4EF8-B02D-B337695F6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3410EA97-FFC9-409B-ACF9-C0904065437F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228599</xdr:rowOff>
    </xdr:from>
    <xdr:to>
      <xdr:col>10</xdr:col>
      <xdr:colOff>276225</xdr:colOff>
      <xdr:row>14</xdr:row>
      <xdr:rowOff>23811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CABBD-D5FC-E915-B4DD-F52976899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16</xdr:row>
      <xdr:rowOff>147637</xdr:rowOff>
    </xdr:from>
    <xdr:to>
      <xdr:col>11</xdr:col>
      <xdr:colOff>38100</xdr:colOff>
      <xdr:row>30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339067-A973-114C-7732-AFAC3FDF2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466725</xdr:colOff>
      <xdr:row>33</xdr:row>
      <xdr:rowOff>147637</xdr:rowOff>
    </xdr:from>
    <xdr:to>
      <xdr:col>12</xdr:col>
      <xdr:colOff>161925</xdr:colOff>
      <xdr:row>47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A5A2B2-A8CA-717B-999F-E12AA4262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180975</xdr:colOff>
      <xdr:row>49</xdr:row>
      <xdr:rowOff>23812</xdr:rowOff>
    </xdr:from>
    <xdr:to>
      <xdr:col>11</xdr:col>
      <xdr:colOff>485775</xdr:colOff>
      <xdr:row>62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80586A-DE62-AF69-11A0-66129E3CE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38100</xdr:colOff>
      <xdr:row>65</xdr:row>
      <xdr:rowOff>119062</xdr:rowOff>
    </xdr:from>
    <xdr:to>
      <xdr:col>12</xdr:col>
      <xdr:colOff>342900</xdr:colOff>
      <xdr:row>76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92132A-2787-1201-4DD9-78F9DDCCD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447675</xdr:colOff>
      <xdr:row>77</xdr:row>
      <xdr:rowOff>52387</xdr:rowOff>
    </xdr:from>
    <xdr:to>
      <xdr:col>12</xdr:col>
      <xdr:colOff>142875</xdr:colOff>
      <xdr:row>90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7583831-9169-DA48-88E9-9D9F51F97B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6375" y="15740062"/>
              <a:ext cx="5181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466725</xdr:colOff>
      <xdr:row>93</xdr:row>
      <xdr:rowOff>71437</xdr:rowOff>
    </xdr:from>
    <xdr:to>
      <xdr:col>12</xdr:col>
      <xdr:colOff>161925</xdr:colOff>
      <xdr:row>106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C3671A-0162-5334-A3E8-052097339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47625</xdr:colOff>
      <xdr:row>110</xdr:row>
      <xdr:rowOff>80962</xdr:rowOff>
    </xdr:from>
    <xdr:to>
      <xdr:col>12</xdr:col>
      <xdr:colOff>352425</xdr:colOff>
      <xdr:row>123</xdr:row>
      <xdr:rowOff>128587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B064C9-45D7-1D80-1104-BE1F8DB11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533400</xdr:colOff>
      <xdr:row>126</xdr:row>
      <xdr:rowOff>80962</xdr:rowOff>
    </xdr:from>
    <xdr:to>
      <xdr:col>12</xdr:col>
      <xdr:colOff>228600</xdr:colOff>
      <xdr:row>139</xdr:row>
      <xdr:rowOff>166687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27EFFF-EA89-68FC-9D88-121BEEF10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600075</xdr:colOff>
      <xdr:row>142</xdr:row>
      <xdr:rowOff>109537</xdr:rowOff>
    </xdr:from>
    <xdr:to>
      <xdr:col>12</xdr:col>
      <xdr:colOff>295275</xdr:colOff>
      <xdr:row>156</xdr:row>
      <xdr:rowOff>4762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451D23-03D6-62AB-D94B-FC60E157B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30D1A-6157-44C6-8DFB-13E8C740478F}" name="Table1" displayName="Table1" ref="A1:B6" totalsRowShown="0" headerRowDxfId="65" headerRowBorderDxfId="64" tableBorderDxfId="63" totalsRowBorderDxfId="62">
  <autoFilter ref="A1:B6" xr:uid="{8E330D1A-6157-44C6-8DFB-13E8C740478F}"/>
  <tableColumns count="2">
    <tableColumn id="1" xr3:uid="{15E89E4E-3D36-4582-BDF1-22E12622A20C}" name="Month" dataDxfId="61"/>
    <tableColumn id="2" xr3:uid="{583D5BBC-297D-4829-BE1A-99FDCD16AE1F}" name="Attendance (%)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DCA38-8507-4BBC-92F9-7AA16ACE046A}" name="Table2" displayName="Table2" ref="B18:C23" totalsRowShown="0" headerRowDxfId="59" headerRowBorderDxfId="58" tableBorderDxfId="57" totalsRowBorderDxfId="56">
  <autoFilter ref="B18:C23" xr:uid="{360DCA38-8507-4BBC-92F9-7AA16ACE046A}"/>
  <tableColumns count="2">
    <tableColumn id="1" xr3:uid="{55A28BB6-2D2D-4F42-9DC4-23BD7668B5C1}" name="Subject" dataDxfId="55"/>
    <tableColumn id="2" xr3:uid="{1511BC29-9781-4A87-BB9E-BC8BD6CB8E38}" name="Marks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FCCB6-EE89-4A68-AB84-16E439ADCF4F}" name="Table3" displayName="Table3" ref="C35:D39" totalsRowShown="0" headerRowDxfId="53" headerRowBorderDxfId="52" tableBorderDxfId="51" totalsRowBorderDxfId="50">
  <autoFilter ref="C35:D39" xr:uid="{410FCCB6-EE89-4A68-AB84-16E439ADCF4F}"/>
  <tableColumns count="2">
    <tableColumn id="1" xr3:uid="{DBE7AD87-5FC6-4B47-94FA-ED7DC94DAAA4}" name="Batch"/>
    <tableColumn id="2" xr3:uid="{6A9F4824-47F2-40B4-8CDA-C1A79F2D4454}" name="Stud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2171CB-1961-46A0-AC67-86F17F7F6291}" name="Table4" displayName="Table4" ref="C53:D58" totalsRowShown="0" headerRowDxfId="49" headerRowBorderDxfId="48" tableBorderDxfId="47" totalsRowBorderDxfId="46">
  <autoFilter ref="C53:D58" xr:uid="{412171CB-1961-46A0-AC67-86F17F7F6291}"/>
  <tableColumns count="2">
    <tableColumn id="1" xr3:uid="{7B578EE5-DA0E-4D97-B85D-57645DF33113}" name="Activity" dataDxfId="45"/>
    <tableColumn id="2" xr3:uid="{E2FDF227-FD3F-4860-90C3-03CA50200A94}" name="Hours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4E2809-6C0B-41E4-917B-9B6F08CCEB7F}" name="Table5" displayName="Table5" ref="C67:D71" totalsRowShown="0" headerRowDxfId="43" headerRowBorderDxfId="42" tableBorderDxfId="41" totalsRowBorderDxfId="40">
  <autoFilter ref="C67:D71" xr:uid="{B44E2809-6C0B-41E4-917B-9B6F08CCEB7F}"/>
  <tableColumns count="2">
    <tableColumn id="1" xr3:uid="{C253162F-3462-49C9-BE59-18D6355981BC}" name="Course"/>
    <tableColumn id="2" xr3:uid="{CE2F79E2-A7D0-45BD-86A4-5CFA42A31BF8}" name="Percen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0EF64A-821D-4222-9979-F44B59877D52}" name="Table6" displayName="Table6" ref="C80:D84" totalsRowShown="0" headerRowDxfId="39" headerRowBorderDxfId="38" tableBorderDxfId="37" totalsRowBorderDxfId="36">
  <autoFilter ref="C80:D84" xr:uid="{690EF64A-821D-4222-9979-F44B59877D52}"/>
  <tableColumns count="2">
    <tableColumn id="1" xr3:uid="{AB818A7D-37B7-47FB-A64F-747147D85FCF}" name="Marks Range"/>
    <tableColumn id="2" xr3:uid="{FBB77D99-1AE7-4B54-A8C1-CE638FFAC5D7}" name="Stud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EE29E2-C319-4DEB-A2F4-504AC3B275B2}" name="Table7" displayName="Table7" ref="C95:D99" totalsRowShown="0" headerRowDxfId="35" headerRowBorderDxfId="34" tableBorderDxfId="33" totalsRowBorderDxfId="32">
  <autoFilter ref="C95:D99" xr:uid="{C2EE29E2-C319-4DEB-A2F4-504AC3B275B2}"/>
  <tableColumns count="2">
    <tableColumn id="1" xr3:uid="{97FD6945-EFD6-47CA-B223-726414699CB3}" name="Month"/>
    <tableColumn id="2" xr3:uid="{E8DA3476-0678-40F0-98F9-ECCC6FBFD6E4}" name="Fe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0492BB-9F86-4BA5-87EE-F44D87ACDD25}" name="Table8" displayName="Table8" ref="C113:D118" totalsRowShown="0" headerRowDxfId="31" headerRowBorderDxfId="30" tableBorderDxfId="29" totalsRowBorderDxfId="28">
  <autoFilter ref="C113:D118" xr:uid="{A50492BB-9F86-4BA5-87EE-F44D87ACDD25}"/>
  <tableColumns count="2">
    <tableColumn id="1" xr3:uid="{B96A3A73-8547-4A57-8975-B8EFE22C1581}" name="Year" dataDxfId="27"/>
    <tableColumn id="2" xr3:uid="{B50FE801-3CF4-4B71-B61E-13805780ECEB}" name="Users" dataDxfId="2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4D67EC-2C73-4D6D-8856-FFA8EF349CD6}" name="Table9" displayName="Table9" ref="C128:D132" totalsRowShown="0" headerRowDxfId="25" headerRowBorderDxfId="24" tableBorderDxfId="23" totalsRowBorderDxfId="22">
  <autoFilter ref="C128:D132" xr:uid="{D64D67EC-2C73-4D6D-8856-FFA8EF349CD6}"/>
  <tableColumns count="2">
    <tableColumn id="1" xr3:uid="{D0647644-7D3F-436F-91B0-6F3C1575525A}" name="Time"/>
    <tableColumn id="2" xr3:uid="{64D9EFAF-66EA-4DB1-83BA-2EF211786D0E}" name="Stud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F2B13E-4228-4DF5-B815-75D8880FD93A}" name="Table10" displayName="Table10" ref="C145:D149" totalsRowShown="0" headerRowDxfId="21" headerRowBorderDxfId="20" tableBorderDxfId="19" totalsRowBorderDxfId="18">
  <autoFilter ref="C145:D149" xr:uid="{98F2B13E-4228-4DF5-B815-75D8880FD93A}"/>
  <tableColumns count="2">
    <tableColumn id="1" xr3:uid="{A2FCEA82-50ED-470B-BF51-C725FC7A6828}" name="Purpose"/>
    <tableColumn id="2" xr3:uid="{B09073D9-3955-4384-965B-886D86BC0FE9}" name="Percent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500036-BABF-4CCE-ACAF-6B663278AA99}" name="Table11" displayName="Table11" ref="A7:E27" totalsRowShown="0" headerRowDxfId="6" dataDxfId="0" headerRowBorderDxfId="16" tableBorderDxfId="17" totalsRowBorderDxfId="15">
  <autoFilter ref="A7:E27" xr:uid="{99500036-BABF-4CCE-ACAF-6B663278AA99}"/>
  <tableColumns count="5">
    <tableColumn id="1" xr3:uid="{F90DCE9F-7599-4988-BBE9-7FBD2C631A29}" name="Employee ID" dataDxfId="5"/>
    <tableColumn id="2" xr3:uid="{7E4AF771-1783-4A4A-959E-B01CF3120C8B}" name="Name" dataDxfId="4"/>
    <tableColumn id="3" xr3:uid="{04C72AD4-4B01-485A-9855-FF811446C550}" name="Department" dataDxfId="3"/>
    <tableColumn id="4" xr3:uid="{8ADAC1EC-CC40-4215-8C8F-9653D0A490DF}" name="Salary" dataDxfId="2"/>
    <tableColumn id="5" xr3:uid="{802C4FE3-9986-428E-9BA2-2471B4099947}" name="Joining Date" dataDxfId="1">
      <calculatedColumnFormula>RANDBETWEEN(DATE(2025,1,7),(DATE(2026,12,11)))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mit@gmail.com" TargetMode="External"/><Relationship Id="rId3" Type="http://schemas.openxmlformats.org/officeDocument/2006/relationships/hyperlink" Target="mailto:mohan@gmail.com" TargetMode="External"/><Relationship Id="rId7" Type="http://schemas.openxmlformats.org/officeDocument/2006/relationships/hyperlink" Target="mailto:jai@gmail.com" TargetMode="External"/><Relationship Id="rId2" Type="http://schemas.openxmlformats.org/officeDocument/2006/relationships/hyperlink" Target="mailto:shyam@gmail.com" TargetMode="External"/><Relationship Id="rId1" Type="http://schemas.openxmlformats.org/officeDocument/2006/relationships/hyperlink" Target="mailto:ram@gmail.com" TargetMode="External"/><Relationship Id="rId6" Type="http://schemas.openxmlformats.org/officeDocument/2006/relationships/hyperlink" Target="mailto:sita@gmail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geeta@gmail.com" TargetMode="External"/><Relationship Id="rId10" Type="http://schemas.openxmlformats.org/officeDocument/2006/relationships/hyperlink" Target="mailto:om@gmail.com" TargetMode="External"/><Relationship Id="rId4" Type="http://schemas.openxmlformats.org/officeDocument/2006/relationships/hyperlink" Target="mailto:naresh@gmail.com" TargetMode="External"/><Relationship Id="rId9" Type="http://schemas.openxmlformats.org/officeDocument/2006/relationships/hyperlink" Target="mailto:dhairy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mit@gmail.com" TargetMode="External"/><Relationship Id="rId3" Type="http://schemas.openxmlformats.org/officeDocument/2006/relationships/hyperlink" Target="mailto:mohan@gmail.com" TargetMode="External"/><Relationship Id="rId7" Type="http://schemas.openxmlformats.org/officeDocument/2006/relationships/hyperlink" Target="mailto:jai@gmail.com" TargetMode="External"/><Relationship Id="rId2" Type="http://schemas.openxmlformats.org/officeDocument/2006/relationships/hyperlink" Target="mailto:shyam@gmail.com" TargetMode="External"/><Relationship Id="rId1" Type="http://schemas.openxmlformats.org/officeDocument/2006/relationships/hyperlink" Target="mailto:ram@gmail.com" TargetMode="External"/><Relationship Id="rId6" Type="http://schemas.openxmlformats.org/officeDocument/2006/relationships/hyperlink" Target="mailto:sita@gmail.com" TargetMode="External"/><Relationship Id="rId5" Type="http://schemas.openxmlformats.org/officeDocument/2006/relationships/hyperlink" Target="mailto:geeta@gmail.com" TargetMode="External"/><Relationship Id="rId10" Type="http://schemas.openxmlformats.org/officeDocument/2006/relationships/hyperlink" Target="mailto:om@gmail.com" TargetMode="External"/><Relationship Id="rId4" Type="http://schemas.openxmlformats.org/officeDocument/2006/relationships/hyperlink" Target="mailto:naresh@gmail.com" TargetMode="External"/><Relationship Id="rId9" Type="http://schemas.openxmlformats.org/officeDocument/2006/relationships/hyperlink" Target="mailto:dhairya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mit@gmail.com" TargetMode="External"/><Relationship Id="rId3" Type="http://schemas.openxmlformats.org/officeDocument/2006/relationships/hyperlink" Target="mailto:mohan@gmail.com" TargetMode="External"/><Relationship Id="rId7" Type="http://schemas.openxmlformats.org/officeDocument/2006/relationships/hyperlink" Target="mailto:jai@gmail.com" TargetMode="External"/><Relationship Id="rId2" Type="http://schemas.openxmlformats.org/officeDocument/2006/relationships/hyperlink" Target="mailto:shyam@gmail.com" TargetMode="External"/><Relationship Id="rId1" Type="http://schemas.openxmlformats.org/officeDocument/2006/relationships/hyperlink" Target="mailto:ram@gmail.com" TargetMode="External"/><Relationship Id="rId6" Type="http://schemas.openxmlformats.org/officeDocument/2006/relationships/hyperlink" Target="mailto:sita@gmail.com" TargetMode="External"/><Relationship Id="rId5" Type="http://schemas.openxmlformats.org/officeDocument/2006/relationships/hyperlink" Target="mailto:geeta@gmail.com" TargetMode="External"/><Relationship Id="rId10" Type="http://schemas.openxmlformats.org/officeDocument/2006/relationships/hyperlink" Target="mailto:om@gmail.com" TargetMode="External"/><Relationship Id="rId4" Type="http://schemas.openxmlformats.org/officeDocument/2006/relationships/hyperlink" Target="mailto:naresh@gmail.com" TargetMode="External"/><Relationship Id="rId9" Type="http://schemas.openxmlformats.org/officeDocument/2006/relationships/hyperlink" Target="mailto:dhairya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workbookViewId="0">
      <selection activeCell="M3" sqref="M3"/>
    </sheetView>
  </sheetViews>
  <sheetFormatPr defaultRowHeight="15" x14ac:dyDescent="0.25"/>
  <cols>
    <col min="1" max="1" width="10.375" customWidth="1"/>
    <col min="2" max="2" width="20" customWidth="1"/>
    <col min="3" max="3" width="17.625" customWidth="1"/>
    <col min="4" max="4" width="15.5" customWidth="1"/>
  </cols>
  <sheetData>
    <row r="1" spans="1:13" ht="18" thickBot="1" x14ac:dyDescent="0.3">
      <c r="A1" s="5" t="s">
        <v>0</v>
      </c>
      <c r="B1" s="6" t="s">
        <v>1</v>
      </c>
    </row>
    <row r="2" spans="1:13" ht="18" thickBot="1" x14ac:dyDescent="0.3">
      <c r="A2" s="1" t="s">
        <v>2</v>
      </c>
      <c r="B2" s="3">
        <v>80</v>
      </c>
    </row>
    <row r="3" spans="1:13" ht="18" thickBot="1" x14ac:dyDescent="0.3">
      <c r="A3" s="2" t="s">
        <v>3</v>
      </c>
      <c r="B3" s="4">
        <v>82</v>
      </c>
      <c r="M3">
        <v>3</v>
      </c>
    </row>
    <row r="4" spans="1:13" ht="18" thickBot="1" x14ac:dyDescent="0.3">
      <c r="A4" s="1" t="s">
        <v>4</v>
      </c>
      <c r="B4" s="3">
        <v>78</v>
      </c>
    </row>
    <row r="5" spans="1:13" ht="18" thickBot="1" x14ac:dyDescent="0.3">
      <c r="A5" s="2" t="s">
        <v>5</v>
      </c>
      <c r="B5" s="4">
        <v>85</v>
      </c>
    </row>
    <row r="6" spans="1:13" ht="17.25" x14ac:dyDescent="0.25">
      <c r="A6" s="7" t="s">
        <v>6</v>
      </c>
      <c r="B6" s="8">
        <v>88</v>
      </c>
    </row>
    <row r="18" spans="1:3" ht="18" thickBot="1" x14ac:dyDescent="0.3">
      <c r="A18">
        <v>1</v>
      </c>
      <c r="B18" s="5" t="s">
        <v>7</v>
      </c>
      <c r="C18" s="6" t="s">
        <v>8</v>
      </c>
    </row>
    <row r="19" spans="1:3" ht="18" thickBot="1" x14ac:dyDescent="0.3">
      <c r="B19" s="1" t="s">
        <v>9</v>
      </c>
      <c r="C19" s="3">
        <v>78</v>
      </c>
    </row>
    <row r="20" spans="1:3" ht="18" thickBot="1" x14ac:dyDescent="0.3">
      <c r="B20" s="2" t="s">
        <v>10</v>
      </c>
      <c r="C20" s="4">
        <v>85</v>
      </c>
    </row>
    <row r="21" spans="1:3" ht="18" thickBot="1" x14ac:dyDescent="0.3">
      <c r="B21" s="1" t="s">
        <v>11</v>
      </c>
      <c r="C21" s="3">
        <v>72</v>
      </c>
    </row>
    <row r="22" spans="1:3" ht="18" thickBot="1" x14ac:dyDescent="0.3">
      <c r="B22" s="2" t="s">
        <v>12</v>
      </c>
      <c r="C22" s="4">
        <v>90</v>
      </c>
    </row>
    <row r="23" spans="1:3" ht="17.25" x14ac:dyDescent="0.25">
      <c r="B23" s="7" t="s">
        <v>13</v>
      </c>
      <c r="C23" s="8">
        <v>68</v>
      </c>
    </row>
    <row r="35" spans="2:4" ht="18" thickBot="1" x14ac:dyDescent="0.3">
      <c r="B35">
        <v>2</v>
      </c>
      <c r="C35" s="5" t="s">
        <v>14</v>
      </c>
      <c r="D35" s="6" t="s">
        <v>15</v>
      </c>
    </row>
    <row r="36" spans="2:4" ht="18" thickBot="1" x14ac:dyDescent="0.3">
      <c r="C36" s="1" t="s">
        <v>16</v>
      </c>
      <c r="D36" s="3">
        <v>25</v>
      </c>
    </row>
    <row r="37" spans="2:4" ht="18" thickBot="1" x14ac:dyDescent="0.3">
      <c r="C37" s="2" t="s">
        <v>17</v>
      </c>
      <c r="D37" s="4">
        <v>30</v>
      </c>
    </row>
    <row r="38" spans="2:4" ht="18" thickBot="1" x14ac:dyDescent="0.3">
      <c r="C38" s="1" t="s">
        <v>18</v>
      </c>
      <c r="D38" s="3">
        <v>28</v>
      </c>
    </row>
    <row r="39" spans="2:4" ht="17.25" x14ac:dyDescent="0.25">
      <c r="C39" s="9" t="s">
        <v>19</v>
      </c>
      <c r="D39" s="10">
        <v>22</v>
      </c>
    </row>
    <row r="53" spans="2:4" ht="18" thickBot="1" x14ac:dyDescent="0.3">
      <c r="B53">
        <v>4</v>
      </c>
      <c r="C53" s="5" t="s">
        <v>20</v>
      </c>
      <c r="D53" s="6" t="s">
        <v>21</v>
      </c>
    </row>
    <row r="54" spans="2:4" ht="18" thickBot="1" x14ac:dyDescent="0.3">
      <c r="C54" s="1" t="s">
        <v>22</v>
      </c>
      <c r="D54" s="3">
        <v>6</v>
      </c>
    </row>
    <row r="55" spans="2:4" ht="18" thickBot="1" x14ac:dyDescent="0.3">
      <c r="C55" s="2" t="s">
        <v>23</v>
      </c>
      <c r="D55" s="4">
        <v>8</v>
      </c>
    </row>
    <row r="56" spans="2:4" ht="18" thickBot="1" x14ac:dyDescent="0.3">
      <c r="C56" s="1" t="s">
        <v>24</v>
      </c>
      <c r="D56" s="3">
        <v>4</v>
      </c>
    </row>
    <row r="57" spans="2:4" ht="18" thickBot="1" x14ac:dyDescent="0.3">
      <c r="C57" s="2" t="s">
        <v>25</v>
      </c>
      <c r="D57" s="4">
        <v>4</v>
      </c>
    </row>
    <row r="58" spans="2:4" ht="17.25" x14ac:dyDescent="0.25">
      <c r="C58" s="7" t="s">
        <v>26</v>
      </c>
      <c r="D58" s="8">
        <v>2</v>
      </c>
    </row>
    <row r="67" spans="2:4" ht="18" thickBot="1" x14ac:dyDescent="0.3">
      <c r="B67">
        <v>5</v>
      </c>
      <c r="C67" s="5" t="s">
        <v>27</v>
      </c>
      <c r="D67" s="6" t="s">
        <v>28</v>
      </c>
    </row>
    <row r="68" spans="2:4" ht="18" thickBot="1" x14ac:dyDescent="0.3">
      <c r="C68" s="1" t="s">
        <v>29</v>
      </c>
      <c r="D68" s="11">
        <v>0.4</v>
      </c>
    </row>
    <row r="69" spans="2:4" ht="18" thickBot="1" x14ac:dyDescent="0.3">
      <c r="C69" s="2" t="s">
        <v>30</v>
      </c>
      <c r="D69" s="12">
        <v>0.35</v>
      </c>
    </row>
    <row r="70" spans="2:4" ht="18" thickBot="1" x14ac:dyDescent="0.3">
      <c r="C70" s="1" t="s">
        <v>31</v>
      </c>
      <c r="D70" s="11">
        <v>0.15</v>
      </c>
    </row>
    <row r="71" spans="2:4" ht="17.25" x14ac:dyDescent="0.25">
      <c r="C71" s="9" t="s">
        <v>26</v>
      </c>
      <c r="D71" s="13">
        <v>0.1</v>
      </c>
    </row>
    <row r="80" spans="2:4" ht="18" thickBot="1" x14ac:dyDescent="0.3">
      <c r="B80">
        <v>6</v>
      </c>
      <c r="C80" s="5" t="s">
        <v>32</v>
      </c>
      <c r="D80" s="6" t="s">
        <v>15</v>
      </c>
    </row>
    <row r="81" spans="2:4" ht="18" thickBot="1" x14ac:dyDescent="0.3">
      <c r="C81" s="1" t="s">
        <v>33</v>
      </c>
      <c r="D81" s="3">
        <v>5</v>
      </c>
    </row>
    <row r="82" spans="2:4" ht="18" thickBot="1" x14ac:dyDescent="0.3">
      <c r="C82" s="2" t="s">
        <v>34</v>
      </c>
      <c r="D82" s="4">
        <v>12</v>
      </c>
    </row>
    <row r="83" spans="2:4" ht="18" thickBot="1" x14ac:dyDescent="0.3">
      <c r="C83" s="1" t="s">
        <v>35</v>
      </c>
      <c r="D83" s="3">
        <v>18</v>
      </c>
    </row>
    <row r="84" spans="2:4" ht="17.25" x14ac:dyDescent="0.25">
      <c r="C84" s="9" t="s">
        <v>36</v>
      </c>
      <c r="D84" s="10">
        <v>10</v>
      </c>
    </row>
    <row r="93" spans="2:4" x14ac:dyDescent="0.25">
      <c r="B93">
        <v>7</v>
      </c>
    </row>
    <row r="95" spans="2:4" ht="18" thickBot="1" x14ac:dyDescent="0.3">
      <c r="C95" s="5" t="s">
        <v>0</v>
      </c>
      <c r="D95" s="6" t="s">
        <v>37</v>
      </c>
    </row>
    <row r="96" spans="2:4" ht="18" thickBot="1" x14ac:dyDescent="0.3">
      <c r="C96" s="1" t="s">
        <v>2</v>
      </c>
      <c r="D96" s="3">
        <v>50</v>
      </c>
    </row>
    <row r="97" spans="2:4" ht="18" thickBot="1" x14ac:dyDescent="0.3">
      <c r="C97" s="2" t="s">
        <v>3</v>
      </c>
      <c r="D97" s="4">
        <v>65</v>
      </c>
    </row>
    <row r="98" spans="2:4" ht="18" thickBot="1" x14ac:dyDescent="0.3">
      <c r="C98" s="1" t="s">
        <v>4</v>
      </c>
      <c r="D98" s="3">
        <v>60</v>
      </c>
    </row>
    <row r="99" spans="2:4" ht="17.25" x14ac:dyDescent="0.25">
      <c r="C99" s="9" t="s">
        <v>5</v>
      </c>
      <c r="D99" s="10">
        <v>75</v>
      </c>
    </row>
    <row r="112" spans="2:4" x14ac:dyDescent="0.25">
      <c r="B112">
        <v>8</v>
      </c>
    </row>
    <row r="113" spans="2:4" ht="18" thickBot="1" x14ac:dyDescent="0.3">
      <c r="C113" s="5" t="s">
        <v>38</v>
      </c>
      <c r="D113" s="6" t="s">
        <v>39</v>
      </c>
    </row>
    <row r="114" spans="2:4" ht="18" thickBot="1" x14ac:dyDescent="0.3">
      <c r="C114" s="1">
        <v>2019</v>
      </c>
      <c r="D114" s="3">
        <v>500</v>
      </c>
    </row>
    <row r="115" spans="2:4" ht="18" thickBot="1" x14ac:dyDescent="0.3">
      <c r="C115" s="2">
        <v>2020</v>
      </c>
      <c r="D115" s="4">
        <v>560</v>
      </c>
    </row>
    <row r="116" spans="2:4" ht="18" thickBot="1" x14ac:dyDescent="0.3">
      <c r="C116" s="1">
        <v>2021</v>
      </c>
      <c r="D116" s="3">
        <v>620</v>
      </c>
    </row>
    <row r="117" spans="2:4" ht="18" thickBot="1" x14ac:dyDescent="0.3">
      <c r="C117" s="2">
        <v>2022</v>
      </c>
      <c r="D117" s="4">
        <v>690</v>
      </c>
    </row>
    <row r="118" spans="2:4" ht="17.25" x14ac:dyDescent="0.25">
      <c r="C118" s="7">
        <v>2023</v>
      </c>
      <c r="D118" s="8">
        <v>760</v>
      </c>
    </row>
    <row r="128" spans="2:4" ht="18" thickBot="1" x14ac:dyDescent="0.3">
      <c r="B128">
        <v>9</v>
      </c>
      <c r="C128" s="5" t="s">
        <v>40</v>
      </c>
      <c r="D128" s="6" t="s">
        <v>15</v>
      </c>
    </row>
    <row r="129" spans="2:4" ht="18" thickBot="1" x14ac:dyDescent="0.3">
      <c r="C129" s="1" t="s">
        <v>41</v>
      </c>
      <c r="D129" s="3">
        <v>18</v>
      </c>
    </row>
    <row r="130" spans="2:4" ht="18" thickBot="1" x14ac:dyDescent="0.3">
      <c r="C130" s="2" t="s">
        <v>42</v>
      </c>
      <c r="D130" s="4">
        <v>10</v>
      </c>
    </row>
    <row r="131" spans="2:4" ht="18" thickBot="1" x14ac:dyDescent="0.3">
      <c r="C131" s="1" t="s">
        <v>43</v>
      </c>
      <c r="D131" s="3">
        <v>22</v>
      </c>
    </row>
    <row r="132" spans="2:4" ht="17.25" x14ac:dyDescent="0.25">
      <c r="C132" s="9" t="s">
        <v>44</v>
      </c>
      <c r="D132" s="10">
        <v>15</v>
      </c>
    </row>
    <row r="144" spans="2:4" x14ac:dyDescent="0.25">
      <c r="B144">
        <v>10</v>
      </c>
    </row>
    <row r="145" spans="3:4" ht="18" thickBot="1" x14ac:dyDescent="0.3">
      <c r="C145" s="5" t="s">
        <v>45</v>
      </c>
      <c r="D145" s="6" t="s">
        <v>28</v>
      </c>
    </row>
    <row r="146" spans="3:4" ht="18" thickBot="1" x14ac:dyDescent="0.3">
      <c r="C146" s="1" t="s">
        <v>46</v>
      </c>
      <c r="D146" s="11">
        <v>0.45</v>
      </c>
    </row>
    <row r="147" spans="3:4" ht="18" thickBot="1" x14ac:dyDescent="0.3">
      <c r="C147" s="2" t="s">
        <v>47</v>
      </c>
      <c r="D147" s="12">
        <v>0.25</v>
      </c>
    </row>
    <row r="148" spans="3:4" ht="18" thickBot="1" x14ac:dyDescent="0.3">
      <c r="C148" s="1" t="s">
        <v>48</v>
      </c>
      <c r="D148" s="11">
        <v>0.2</v>
      </c>
    </row>
    <row r="149" spans="3:4" ht="17.25" x14ac:dyDescent="0.25">
      <c r="C149" s="9" t="s">
        <v>26</v>
      </c>
      <c r="D149" s="13">
        <v>0.1</v>
      </c>
    </row>
  </sheetData>
  <pageMargins left="0.7" right="0.7" top="0.75" bottom="0.75" header="0.3" footer="0.3"/>
  <pageSetup orientation="portrait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9FCE-3A70-47FF-88EF-9BA5CCE175C0}">
  <dimension ref="A1:E12"/>
  <sheetViews>
    <sheetView workbookViewId="0">
      <selection activeCell="B5" sqref="B5:B11"/>
    </sheetView>
  </sheetViews>
  <sheetFormatPr defaultRowHeight="15" x14ac:dyDescent="0.25"/>
  <cols>
    <col min="4" max="4" width="12.25" customWidth="1"/>
    <col min="5" max="5" width="18.75" customWidth="1"/>
  </cols>
  <sheetData>
    <row r="1" spans="1:5" x14ac:dyDescent="0.25">
      <c r="A1" s="21" t="s">
        <v>49</v>
      </c>
      <c r="B1" s="22" t="s">
        <v>50</v>
      </c>
      <c r="C1" s="22" t="s">
        <v>61</v>
      </c>
      <c r="D1" s="22" t="s">
        <v>62</v>
      </c>
      <c r="E1" s="23" t="s">
        <v>63</v>
      </c>
    </row>
    <row r="2" spans="1:5" x14ac:dyDescent="0.25">
      <c r="A2" s="24">
        <v>1</v>
      </c>
      <c r="B2" s="17" t="s">
        <v>51</v>
      </c>
      <c r="C2" s="17">
        <v>21</v>
      </c>
      <c r="D2" s="18">
        <v>34830</v>
      </c>
      <c r="E2" s="25" t="s">
        <v>64</v>
      </c>
    </row>
    <row r="3" spans="1:5" x14ac:dyDescent="0.25">
      <c r="A3" s="24">
        <v>2</v>
      </c>
      <c r="B3" s="17" t="s">
        <v>52</v>
      </c>
      <c r="C3" s="17">
        <v>20</v>
      </c>
      <c r="D3" s="18">
        <v>24242</v>
      </c>
      <c r="E3" s="25" t="s">
        <v>65</v>
      </c>
    </row>
    <row r="4" spans="1:5" x14ac:dyDescent="0.25">
      <c r="A4" s="24">
        <v>3</v>
      </c>
      <c r="B4" s="17" t="s">
        <v>53</v>
      </c>
      <c r="C4" s="17">
        <v>30</v>
      </c>
      <c r="D4" s="18">
        <v>27662</v>
      </c>
      <c r="E4" s="25" t="s">
        <v>66</v>
      </c>
    </row>
    <row r="5" spans="1:5" x14ac:dyDescent="0.25">
      <c r="A5" s="24">
        <v>4</v>
      </c>
      <c r="B5" s="17" t="s">
        <v>54</v>
      </c>
      <c r="C5" s="17">
        <v>25</v>
      </c>
      <c r="D5" s="18">
        <v>32029</v>
      </c>
      <c r="E5" s="25" t="s">
        <v>67</v>
      </c>
    </row>
    <row r="6" spans="1:5" x14ac:dyDescent="0.25">
      <c r="A6" s="24">
        <v>5</v>
      </c>
      <c r="B6" s="17" t="s">
        <v>55</v>
      </c>
      <c r="C6" s="17">
        <v>24</v>
      </c>
      <c r="D6" s="18">
        <v>20784</v>
      </c>
      <c r="E6" s="25" t="s">
        <v>68</v>
      </c>
    </row>
    <row r="7" spans="1:5" x14ac:dyDescent="0.25">
      <c r="A7" s="24">
        <v>6</v>
      </c>
      <c r="B7" s="17" t="s">
        <v>56</v>
      </c>
      <c r="C7" s="17">
        <v>23</v>
      </c>
      <c r="D7" s="18">
        <v>40580</v>
      </c>
      <c r="E7" s="25" t="s">
        <v>69</v>
      </c>
    </row>
    <row r="8" spans="1:5" x14ac:dyDescent="0.25">
      <c r="A8" s="24">
        <v>7</v>
      </c>
      <c r="B8" s="17" t="s">
        <v>57</v>
      </c>
      <c r="C8" s="17">
        <v>30</v>
      </c>
      <c r="D8" s="18">
        <v>28967</v>
      </c>
      <c r="E8" s="25" t="s">
        <v>70</v>
      </c>
    </row>
    <row r="9" spans="1:5" x14ac:dyDescent="0.25">
      <c r="A9" s="24">
        <v>8</v>
      </c>
      <c r="B9" s="17" t="s">
        <v>58</v>
      </c>
      <c r="C9" s="17">
        <v>26</v>
      </c>
      <c r="D9" s="18">
        <v>33787</v>
      </c>
      <c r="E9" s="25" t="s">
        <v>71</v>
      </c>
    </row>
    <row r="10" spans="1:5" x14ac:dyDescent="0.25">
      <c r="A10" s="24">
        <v>9</v>
      </c>
      <c r="B10" s="17" t="s">
        <v>59</v>
      </c>
      <c r="C10" s="17">
        <v>25</v>
      </c>
      <c r="D10" s="18">
        <v>32975</v>
      </c>
      <c r="E10" s="25" t="s">
        <v>72</v>
      </c>
    </row>
    <row r="11" spans="1:5" x14ac:dyDescent="0.25">
      <c r="A11" s="24">
        <v>10</v>
      </c>
      <c r="B11" s="17" t="s">
        <v>60</v>
      </c>
      <c r="C11" s="17">
        <v>27</v>
      </c>
      <c r="D11" s="18">
        <v>45643</v>
      </c>
      <c r="E11" s="25" t="s">
        <v>73</v>
      </c>
    </row>
    <row r="12" spans="1:5" ht="15.75" thickBot="1" x14ac:dyDescent="0.3">
      <c r="A12" s="34" t="s">
        <v>74</v>
      </c>
      <c r="B12" s="35"/>
      <c r="C12" s="26">
        <f>SUM(C1:C11)</f>
        <v>251</v>
      </c>
      <c r="D12" s="27">
        <f>SUM(D1:D11)</f>
        <v>321499</v>
      </c>
      <c r="E12" s="28"/>
    </row>
  </sheetData>
  <mergeCells count="1">
    <mergeCell ref="A12:B12"/>
  </mergeCells>
  <hyperlinks>
    <hyperlink ref="E2" r:id="rId1" xr:uid="{A5A4C2FC-BDC3-490F-B031-B0C57E850AFA}"/>
    <hyperlink ref="E3" r:id="rId2" xr:uid="{FB31E515-0428-438C-A9B1-8350FACEF66A}"/>
    <hyperlink ref="E4" r:id="rId3" xr:uid="{6A9E6CA7-32CA-422C-ADAE-1D22B7487A40}"/>
    <hyperlink ref="E5" r:id="rId4" xr:uid="{C61F1689-6CE6-48C6-A9D6-DABE132C7059}"/>
    <hyperlink ref="E6" r:id="rId5" xr:uid="{B3E975E4-6630-477F-A0ED-5CB32E889D14}"/>
    <hyperlink ref="E7" r:id="rId6" xr:uid="{055A14B0-04DA-4485-9DB7-57DE9D213DF2}"/>
    <hyperlink ref="E8" r:id="rId7" xr:uid="{545E0A63-A5F1-4FDD-8164-A0436E989159}"/>
    <hyperlink ref="E9" r:id="rId8" xr:uid="{4B7CAE44-FB6F-43D5-9996-49B2D41C2370}"/>
    <hyperlink ref="E10" r:id="rId9" xr:uid="{6BAFA4F0-5E10-4BD0-A5D2-BDD2450DFF27}"/>
    <hyperlink ref="E11" r:id="rId10" xr:uid="{D6E2DCE5-9E9C-46B4-AC3D-43E262F9A191}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F61D-F1D8-456E-BC09-BB33D0385370}">
  <dimension ref="A1:O49"/>
  <sheetViews>
    <sheetView workbookViewId="0">
      <selection activeCell="H17" sqref="H17"/>
    </sheetView>
  </sheetViews>
  <sheetFormatPr defaultRowHeight="15" x14ac:dyDescent="0.25"/>
  <cols>
    <col min="3" max="3" width="15.625" customWidth="1"/>
    <col min="4" max="5" width="21.875" customWidth="1"/>
    <col min="6" max="6" width="19.375" customWidth="1"/>
    <col min="7" max="7" width="15.5" customWidth="1"/>
    <col min="8" max="8" width="15" customWidth="1"/>
    <col min="9" max="9" width="18.75" customWidth="1"/>
    <col min="10" max="11" width="15" customWidth="1"/>
    <col min="12" max="12" width="16.75" customWidth="1"/>
    <col min="13" max="13" width="10.75" customWidth="1"/>
  </cols>
  <sheetData>
    <row r="1" spans="1:15" x14ac:dyDescent="0.25">
      <c r="A1" s="19" t="s">
        <v>49</v>
      </c>
      <c r="B1" s="19" t="s">
        <v>50</v>
      </c>
      <c r="C1" s="19" t="s">
        <v>75</v>
      </c>
      <c r="D1" s="19" t="s">
        <v>84</v>
      </c>
      <c r="E1" s="19"/>
      <c r="F1" s="19" t="s">
        <v>86</v>
      </c>
      <c r="G1" s="19" t="s">
        <v>97</v>
      </c>
      <c r="H1" s="19" t="s">
        <v>98</v>
      </c>
      <c r="I1" s="19" t="s">
        <v>100</v>
      </c>
      <c r="J1" s="19" t="s">
        <v>101</v>
      </c>
      <c r="K1" s="19" t="s">
        <v>102</v>
      </c>
      <c r="L1" s="19" t="s">
        <v>103</v>
      </c>
      <c r="M1" s="19" t="s">
        <v>85</v>
      </c>
      <c r="N1" s="19" t="s">
        <v>61</v>
      </c>
      <c r="O1" s="14"/>
    </row>
    <row r="2" spans="1:15" x14ac:dyDescent="0.25">
      <c r="A2" s="17">
        <v>1</v>
      </c>
      <c r="B2" s="17" t="s">
        <v>51</v>
      </c>
      <c r="C2" s="17" t="s">
        <v>76</v>
      </c>
      <c r="D2" s="17" t="str">
        <f>_xlfn.CONCAT(B2," ",C2)</f>
        <v>Ram  Patel</v>
      </c>
      <c r="E2" s="17"/>
      <c r="F2" s="17" t="s">
        <v>87</v>
      </c>
      <c r="G2" s="17" t="s">
        <v>99</v>
      </c>
      <c r="H2" s="17" t="s">
        <v>76</v>
      </c>
      <c r="I2" s="16" t="s">
        <v>64</v>
      </c>
      <c r="J2" s="16" t="s">
        <v>104</v>
      </c>
      <c r="K2" s="16" t="s">
        <v>113</v>
      </c>
      <c r="L2" s="16" t="s">
        <v>114</v>
      </c>
      <c r="M2" s="17">
        <v>9301816152</v>
      </c>
      <c r="N2" s="17">
        <v>21</v>
      </c>
    </row>
    <row r="3" spans="1:15" x14ac:dyDescent="0.25">
      <c r="A3" s="17">
        <v>2</v>
      </c>
      <c r="B3" s="17" t="s">
        <v>52</v>
      </c>
      <c r="C3" s="17" t="s">
        <v>77</v>
      </c>
      <c r="D3" s="17" t="str">
        <f t="shared" ref="D3:D11" si="0">_xlfn.CONCAT(B3," ",C3)</f>
        <v>Shyam Shah</v>
      </c>
      <c r="E3" s="17"/>
      <c r="F3" s="17" t="s">
        <v>88</v>
      </c>
      <c r="G3" s="17" t="s">
        <v>52</v>
      </c>
      <c r="H3" s="17" t="s">
        <v>77</v>
      </c>
      <c r="I3" s="16" t="s">
        <v>65</v>
      </c>
      <c r="J3" s="16" t="s">
        <v>105</v>
      </c>
      <c r="K3" s="16" t="s">
        <v>113</v>
      </c>
      <c r="L3" s="16" t="s">
        <v>114</v>
      </c>
      <c r="M3" s="17">
        <v>9655912735</v>
      </c>
      <c r="N3" s="17">
        <v>20</v>
      </c>
    </row>
    <row r="4" spans="1:15" x14ac:dyDescent="0.25">
      <c r="A4" s="17">
        <v>3</v>
      </c>
      <c r="B4" s="17" t="s">
        <v>53</v>
      </c>
      <c r="C4" s="17" t="s">
        <v>78</v>
      </c>
      <c r="D4" s="17" t="str">
        <f t="shared" si="0"/>
        <v>Mohan Gehlot</v>
      </c>
      <c r="E4" s="17"/>
      <c r="F4" s="17" t="s">
        <v>89</v>
      </c>
      <c r="G4" s="17" t="s">
        <v>53</v>
      </c>
      <c r="H4" s="17" t="s">
        <v>78</v>
      </c>
      <c r="I4" s="16" t="s">
        <v>66</v>
      </c>
      <c r="J4" s="16" t="s">
        <v>106</v>
      </c>
      <c r="K4" s="16" t="s">
        <v>113</v>
      </c>
      <c r="L4" s="16" t="s">
        <v>114</v>
      </c>
      <c r="M4" s="17">
        <v>9499232192</v>
      </c>
      <c r="N4" s="17">
        <v>30</v>
      </c>
    </row>
    <row r="5" spans="1:15" x14ac:dyDescent="0.25">
      <c r="A5" s="17">
        <v>4</v>
      </c>
      <c r="B5" s="17" t="s">
        <v>54</v>
      </c>
      <c r="C5" s="17" t="s">
        <v>76</v>
      </c>
      <c r="D5" s="17" t="str">
        <f t="shared" si="0"/>
        <v>Naresh Patel</v>
      </c>
      <c r="E5" s="17"/>
      <c r="F5" s="17" t="s">
        <v>90</v>
      </c>
      <c r="G5" s="17" t="s">
        <v>54</v>
      </c>
      <c r="H5" s="17" t="s">
        <v>76</v>
      </c>
      <c r="I5" s="16" t="s">
        <v>67</v>
      </c>
      <c r="J5" s="16" t="s">
        <v>107</v>
      </c>
      <c r="K5" s="16" t="s">
        <v>113</v>
      </c>
      <c r="L5" s="16" t="s">
        <v>114</v>
      </c>
      <c r="M5" s="17">
        <v>9898481097</v>
      </c>
      <c r="N5" s="17">
        <v>25</v>
      </c>
    </row>
    <row r="6" spans="1:15" x14ac:dyDescent="0.25">
      <c r="A6" s="17">
        <v>5</v>
      </c>
      <c r="B6" s="17" t="s">
        <v>55</v>
      </c>
      <c r="C6" s="17" t="s">
        <v>79</v>
      </c>
      <c r="D6" s="17" t="str">
        <f t="shared" si="0"/>
        <v>Geeta Lalwani</v>
      </c>
      <c r="E6" s="17"/>
      <c r="F6" s="17" t="s">
        <v>91</v>
      </c>
      <c r="G6" s="17" t="s">
        <v>55</v>
      </c>
      <c r="H6" s="17" t="s">
        <v>79</v>
      </c>
      <c r="I6" s="16" t="s">
        <v>68</v>
      </c>
      <c r="J6" s="16" t="s">
        <v>108</v>
      </c>
      <c r="K6" s="16" t="s">
        <v>113</v>
      </c>
      <c r="L6" s="16" t="s">
        <v>114</v>
      </c>
      <c r="M6" s="17">
        <v>9634922929</v>
      </c>
      <c r="N6" s="17">
        <v>24</v>
      </c>
    </row>
    <row r="7" spans="1:15" x14ac:dyDescent="0.25">
      <c r="A7" s="17">
        <v>6</v>
      </c>
      <c r="B7" s="17" t="s">
        <v>56</v>
      </c>
      <c r="C7" s="17" t="s">
        <v>80</v>
      </c>
      <c r="D7" s="17" t="str">
        <f t="shared" si="0"/>
        <v>Sita Joshi</v>
      </c>
      <c r="E7" s="17"/>
      <c r="F7" s="17" t="s">
        <v>92</v>
      </c>
      <c r="G7" s="17" t="s">
        <v>56</v>
      </c>
      <c r="H7" s="17" t="s">
        <v>80</v>
      </c>
      <c r="I7" s="16" t="s">
        <v>69</v>
      </c>
      <c r="J7" s="16" t="s">
        <v>109</v>
      </c>
      <c r="K7" s="16" t="s">
        <v>113</v>
      </c>
      <c r="L7" s="16" t="s">
        <v>114</v>
      </c>
      <c r="M7" s="17">
        <v>9871623223</v>
      </c>
      <c r="N7" s="17">
        <v>23</v>
      </c>
    </row>
    <row r="8" spans="1:15" x14ac:dyDescent="0.25">
      <c r="A8" s="17">
        <v>7</v>
      </c>
      <c r="B8" s="17" t="s">
        <v>57</v>
      </c>
      <c r="C8" s="17" t="s">
        <v>81</v>
      </c>
      <c r="D8" s="17" t="str">
        <f t="shared" si="0"/>
        <v>jai Dave</v>
      </c>
      <c r="E8" s="17"/>
      <c r="F8" s="17" t="s">
        <v>93</v>
      </c>
      <c r="G8" s="17" t="s">
        <v>57</v>
      </c>
      <c r="H8" s="17" t="s">
        <v>81</v>
      </c>
      <c r="I8" s="16" t="s">
        <v>70</v>
      </c>
      <c r="J8" s="16" t="s">
        <v>57</v>
      </c>
      <c r="K8" s="16" t="s">
        <v>113</v>
      </c>
      <c r="L8" s="16" t="s">
        <v>114</v>
      </c>
      <c r="M8" s="17">
        <v>9843807811</v>
      </c>
      <c r="N8" s="17">
        <v>30</v>
      </c>
    </row>
    <row r="9" spans="1:15" x14ac:dyDescent="0.25">
      <c r="A9" s="17">
        <v>8</v>
      </c>
      <c r="B9" s="17" t="s">
        <v>58</v>
      </c>
      <c r="C9" s="17" t="s">
        <v>82</v>
      </c>
      <c r="D9" s="17" t="str">
        <f t="shared" si="0"/>
        <v>Smit Malhotra</v>
      </c>
      <c r="E9" s="17"/>
      <c r="F9" s="17" t="s">
        <v>94</v>
      </c>
      <c r="G9" s="17" t="s">
        <v>58</v>
      </c>
      <c r="H9" s="17" t="s">
        <v>82</v>
      </c>
      <c r="I9" s="16" t="s">
        <v>71</v>
      </c>
      <c r="J9" s="16" t="s">
        <v>110</v>
      </c>
      <c r="K9" s="16" t="s">
        <v>113</v>
      </c>
      <c r="L9" s="16" t="s">
        <v>114</v>
      </c>
      <c r="M9" s="17">
        <v>9260225025</v>
      </c>
      <c r="N9" s="17">
        <v>26</v>
      </c>
    </row>
    <row r="10" spans="1:15" x14ac:dyDescent="0.25">
      <c r="A10" s="17">
        <v>9</v>
      </c>
      <c r="B10" s="17" t="s">
        <v>59</v>
      </c>
      <c r="C10" s="17" t="s">
        <v>78</v>
      </c>
      <c r="D10" s="17" t="str">
        <f t="shared" si="0"/>
        <v>Dhairya Gehlot</v>
      </c>
      <c r="E10" s="17"/>
      <c r="F10" s="17" t="s">
        <v>95</v>
      </c>
      <c r="G10" s="17" t="s">
        <v>59</v>
      </c>
      <c r="H10" s="17" t="s">
        <v>78</v>
      </c>
      <c r="I10" s="16" t="s">
        <v>72</v>
      </c>
      <c r="J10" s="16" t="s">
        <v>111</v>
      </c>
      <c r="K10" s="16" t="s">
        <v>113</v>
      </c>
      <c r="L10" s="16" t="s">
        <v>114</v>
      </c>
      <c r="M10" s="17">
        <v>9702164866</v>
      </c>
      <c r="N10" s="17">
        <v>25</v>
      </c>
    </row>
    <row r="11" spans="1:15" x14ac:dyDescent="0.25">
      <c r="A11" s="17">
        <v>10</v>
      </c>
      <c r="B11" s="17" t="s">
        <v>60</v>
      </c>
      <c r="C11" s="17" t="s">
        <v>83</v>
      </c>
      <c r="D11" s="17" t="str">
        <f t="shared" si="0"/>
        <v>Om Tripathi</v>
      </c>
      <c r="E11" s="17"/>
      <c r="F11" s="17" t="s">
        <v>96</v>
      </c>
      <c r="G11" s="17" t="s">
        <v>60</v>
      </c>
      <c r="H11" s="17" t="s">
        <v>83</v>
      </c>
      <c r="I11" s="16" t="s">
        <v>73</v>
      </c>
      <c r="J11" s="16" t="s">
        <v>112</v>
      </c>
      <c r="K11" s="16" t="s">
        <v>113</v>
      </c>
      <c r="L11" s="16" t="s">
        <v>114</v>
      </c>
      <c r="M11" s="17">
        <v>9936045741</v>
      </c>
      <c r="N11" s="17">
        <v>27</v>
      </c>
    </row>
    <row r="12" spans="1:15" x14ac:dyDescent="0.25">
      <c r="A12" s="36" t="s">
        <v>74</v>
      </c>
      <c r="B12" s="3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>
        <f>SUM(N1:N11)</f>
        <v>251</v>
      </c>
    </row>
    <row r="21" spans="1:6" x14ac:dyDescent="0.25">
      <c r="A21" s="19" t="s">
        <v>49</v>
      </c>
      <c r="B21" s="19" t="s">
        <v>50</v>
      </c>
      <c r="C21" s="19" t="s">
        <v>75</v>
      </c>
      <c r="D21" s="19" t="s">
        <v>84</v>
      </c>
      <c r="E21" s="19" t="s">
        <v>50</v>
      </c>
      <c r="F21" s="19" t="s">
        <v>75</v>
      </c>
    </row>
    <row r="22" spans="1:6" x14ac:dyDescent="0.25">
      <c r="A22" s="17">
        <v>1</v>
      </c>
      <c r="B22" s="17" t="s">
        <v>51</v>
      </c>
      <c r="C22" s="17" t="s">
        <v>76</v>
      </c>
      <c r="D22" s="17" t="str">
        <f>_xlfn.CONCAT(B22," ",C22)</f>
        <v>Ram  Patel</v>
      </c>
      <c r="E22" s="17" t="s">
        <v>99</v>
      </c>
      <c r="F22" s="17" t="s">
        <v>76</v>
      </c>
    </row>
    <row r="23" spans="1:6" x14ac:dyDescent="0.25">
      <c r="A23" s="17">
        <v>2</v>
      </c>
      <c r="B23" s="17" t="s">
        <v>52</v>
      </c>
      <c r="C23" s="17" t="s">
        <v>77</v>
      </c>
      <c r="D23" s="17" t="str">
        <f t="shared" ref="D23:D31" si="1">_xlfn.CONCAT(B23," ",C23)</f>
        <v>Shyam Shah</v>
      </c>
      <c r="E23" s="17" t="s">
        <v>52</v>
      </c>
      <c r="F23" s="17" t="s">
        <v>77</v>
      </c>
    </row>
    <row r="24" spans="1:6" x14ac:dyDescent="0.25">
      <c r="A24" s="17">
        <v>3</v>
      </c>
      <c r="B24" s="17" t="s">
        <v>53</v>
      </c>
      <c r="C24" s="17" t="s">
        <v>78</v>
      </c>
      <c r="D24" s="17" t="str">
        <f t="shared" si="1"/>
        <v>Mohan Gehlot</v>
      </c>
      <c r="E24" s="17" t="s">
        <v>53</v>
      </c>
      <c r="F24" s="17" t="s">
        <v>78</v>
      </c>
    </row>
    <row r="25" spans="1:6" x14ac:dyDescent="0.25">
      <c r="A25" s="17">
        <v>4</v>
      </c>
      <c r="B25" s="17" t="s">
        <v>54</v>
      </c>
      <c r="C25" s="17" t="s">
        <v>76</v>
      </c>
      <c r="D25" s="17" t="str">
        <f t="shared" si="1"/>
        <v>Naresh Patel</v>
      </c>
      <c r="E25" s="17" t="s">
        <v>54</v>
      </c>
      <c r="F25" s="17" t="s">
        <v>76</v>
      </c>
    </row>
    <row r="26" spans="1:6" x14ac:dyDescent="0.25">
      <c r="A26" s="17">
        <v>5</v>
      </c>
      <c r="B26" s="17" t="s">
        <v>55</v>
      </c>
      <c r="C26" s="17" t="s">
        <v>79</v>
      </c>
      <c r="D26" s="17" t="str">
        <f t="shared" si="1"/>
        <v>Geeta Lalwani</v>
      </c>
      <c r="E26" s="17" t="s">
        <v>55</v>
      </c>
      <c r="F26" s="17" t="s">
        <v>79</v>
      </c>
    </row>
    <row r="27" spans="1:6" x14ac:dyDescent="0.25">
      <c r="A27" s="17">
        <v>6</v>
      </c>
      <c r="B27" s="17" t="s">
        <v>56</v>
      </c>
      <c r="C27" s="17" t="s">
        <v>80</v>
      </c>
      <c r="D27" s="17" t="str">
        <f t="shared" si="1"/>
        <v>Sita Joshi</v>
      </c>
      <c r="E27" s="17" t="s">
        <v>56</v>
      </c>
      <c r="F27" s="17" t="s">
        <v>80</v>
      </c>
    </row>
    <row r="28" spans="1:6" x14ac:dyDescent="0.25">
      <c r="A28" s="17">
        <v>7</v>
      </c>
      <c r="B28" s="17" t="s">
        <v>57</v>
      </c>
      <c r="C28" s="17" t="s">
        <v>81</v>
      </c>
      <c r="D28" s="17" t="str">
        <f t="shared" si="1"/>
        <v>jai Dave</v>
      </c>
      <c r="E28" s="17" t="s">
        <v>57</v>
      </c>
      <c r="F28" s="17" t="s">
        <v>81</v>
      </c>
    </row>
    <row r="29" spans="1:6" x14ac:dyDescent="0.25">
      <c r="A29" s="17">
        <v>8</v>
      </c>
      <c r="B29" s="17" t="s">
        <v>58</v>
      </c>
      <c r="C29" s="17" t="s">
        <v>82</v>
      </c>
      <c r="D29" s="17" t="str">
        <f t="shared" si="1"/>
        <v>Smit Malhotra</v>
      </c>
      <c r="E29" s="17" t="s">
        <v>58</v>
      </c>
      <c r="F29" s="17" t="s">
        <v>82</v>
      </c>
    </row>
    <row r="30" spans="1:6" x14ac:dyDescent="0.25">
      <c r="A30" s="17">
        <v>9</v>
      </c>
      <c r="B30" s="17" t="s">
        <v>59</v>
      </c>
      <c r="C30" s="17" t="s">
        <v>78</v>
      </c>
      <c r="D30" s="17" t="str">
        <f t="shared" si="1"/>
        <v>Dhairya Gehlot</v>
      </c>
      <c r="E30" s="17" t="s">
        <v>59</v>
      </c>
      <c r="F30" s="17" t="s">
        <v>78</v>
      </c>
    </row>
    <row r="31" spans="1:6" x14ac:dyDescent="0.25">
      <c r="A31" s="17">
        <v>10</v>
      </c>
      <c r="B31" s="17" t="s">
        <v>60</v>
      </c>
      <c r="C31" s="17" t="s">
        <v>83</v>
      </c>
      <c r="D31" s="17" t="str">
        <f t="shared" si="1"/>
        <v>Om Tripathi</v>
      </c>
      <c r="E31" s="17" t="s">
        <v>60</v>
      </c>
      <c r="F31" s="17" t="s">
        <v>83</v>
      </c>
    </row>
    <row r="32" spans="1:6" x14ac:dyDescent="0.25">
      <c r="A32" s="37"/>
      <c r="B32" s="37"/>
      <c r="C32" s="17"/>
      <c r="D32" s="17"/>
      <c r="E32" s="17"/>
      <c r="F32" s="17"/>
    </row>
    <row r="49" spans="2:5" x14ac:dyDescent="0.25">
      <c r="B49" s="15"/>
      <c r="C49" s="15"/>
      <c r="D49" s="15"/>
      <c r="E49" s="15"/>
    </row>
  </sheetData>
  <mergeCells count="2">
    <mergeCell ref="A12:B12"/>
    <mergeCell ref="A32:B32"/>
  </mergeCells>
  <hyperlinks>
    <hyperlink ref="I2" r:id="rId1" xr:uid="{D5D2C346-3734-4AC4-A885-6B9A8F3A2396}"/>
    <hyperlink ref="I3" r:id="rId2" xr:uid="{CE36573B-97CA-4724-A345-5CCF7941A0CA}"/>
    <hyperlink ref="I4" r:id="rId3" xr:uid="{9165056D-D406-4113-B3ED-00C66A29CB8C}"/>
    <hyperlink ref="I5" r:id="rId4" xr:uid="{18274A7C-72E3-4CDB-B228-8AC5C032867F}"/>
    <hyperlink ref="I6" r:id="rId5" xr:uid="{83B7EE4D-AE60-4C34-8DD7-83541B6E41C0}"/>
    <hyperlink ref="I7" r:id="rId6" xr:uid="{B9AF8A4E-F07B-4C4F-B986-D8CD89987ECB}"/>
    <hyperlink ref="I8" r:id="rId7" xr:uid="{E447F702-5813-45B9-BF8A-C8030CCD9D3B}"/>
    <hyperlink ref="I9" r:id="rId8" xr:uid="{0958B25B-4216-4365-8903-A64F91109724}"/>
    <hyperlink ref="I10" r:id="rId9" xr:uid="{399E77AB-33C5-4321-917E-BF8501BCD16F}"/>
    <hyperlink ref="I11" r:id="rId10" xr:uid="{4670B85E-020F-43BE-A944-F60779331C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22DC-1840-4239-99B9-80EAE8EA7DDF}">
  <dimension ref="A1:E11"/>
  <sheetViews>
    <sheetView workbookViewId="0">
      <selection activeCell="F15" sqref="F15"/>
    </sheetView>
  </sheetViews>
  <sheetFormatPr defaultRowHeight="15" x14ac:dyDescent="0.25"/>
  <cols>
    <col min="1" max="1" width="18.75" customWidth="1"/>
    <col min="2" max="2" width="9.875" customWidth="1"/>
    <col min="3" max="3" width="7.75" customWidth="1"/>
    <col min="4" max="4" width="16.75" customWidth="1"/>
  </cols>
  <sheetData>
    <row r="1" spans="1:5" x14ac:dyDescent="0.25">
      <c r="A1" s="19" t="s">
        <v>100</v>
      </c>
      <c r="B1" s="19" t="s">
        <v>101</v>
      </c>
      <c r="C1" s="19" t="s">
        <v>102</v>
      </c>
      <c r="D1" s="19" t="s">
        <v>103</v>
      </c>
      <c r="E1" s="20"/>
    </row>
    <row r="2" spans="1:5" x14ac:dyDescent="0.25">
      <c r="A2" s="16" t="s">
        <v>64</v>
      </c>
      <c r="B2" s="16" t="s">
        <v>104</v>
      </c>
      <c r="C2" s="16" t="s">
        <v>113</v>
      </c>
      <c r="D2" s="16" t="s">
        <v>114</v>
      </c>
    </row>
    <row r="3" spans="1:5" x14ac:dyDescent="0.25">
      <c r="A3" s="16" t="s">
        <v>65</v>
      </c>
      <c r="B3" s="16" t="s">
        <v>105</v>
      </c>
      <c r="C3" s="16" t="s">
        <v>113</v>
      </c>
      <c r="D3" s="16" t="s">
        <v>114</v>
      </c>
    </row>
    <row r="4" spans="1:5" x14ac:dyDescent="0.25">
      <c r="A4" s="16" t="s">
        <v>66</v>
      </c>
      <c r="B4" s="16" t="s">
        <v>106</v>
      </c>
      <c r="C4" s="16" t="s">
        <v>113</v>
      </c>
      <c r="D4" s="16" t="s">
        <v>114</v>
      </c>
    </row>
    <row r="5" spans="1:5" x14ac:dyDescent="0.25">
      <c r="A5" s="16" t="s">
        <v>67</v>
      </c>
      <c r="B5" s="16" t="s">
        <v>107</v>
      </c>
      <c r="C5" s="16" t="s">
        <v>113</v>
      </c>
      <c r="D5" s="16" t="s">
        <v>114</v>
      </c>
    </row>
    <row r="6" spans="1:5" x14ac:dyDescent="0.25">
      <c r="A6" s="16" t="s">
        <v>68</v>
      </c>
      <c r="B6" s="16" t="s">
        <v>108</v>
      </c>
      <c r="C6" s="16" t="s">
        <v>113</v>
      </c>
      <c r="D6" s="16" t="s">
        <v>114</v>
      </c>
    </row>
    <row r="7" spans="1:5" x14ac:dyDescent="0.25">
      <c r="A7" s="16" t="s">
        <v>69</v>
      </c>
      <c r="B7" s="16" t="s">
        <v>109</v>
      </c>
      <c r="C7" s="16" t="s">
        <v>113</v>
      </c>
      <c r="D7" s="16" t="s">
        <v>114</v>
      </c>
    </row>
    <row r="8" spans="1:5" x14ac:dyDescent="0.25">
      <c r="A8" s="16" t="s">
        <v>70</v>
      </c>
      <c r="B8" s="16" t="s">
        <v>57</v>
      </c>
      <c r="C8" s="16" t="s">
        <v>113</v>
      </c>
      <c r="D8" s="16" t="s">
        <v>114</v>
      </c>
    </row>
    <row r="9" spans="1:5" x14ac:dyDescent="0.25">
      <c r="A9" s="16" t="s">
        <v>71</v>
      </c>
      <c r="B9" s="16" t="s">
        <v>110</v>
      </c>
      <c r="C9" s="16" t="s">
        <v>113</v>
      </c>
      <c r="D9" s="16" t="s">
        <v>114</v>
      </c>
    </row>
    <row r="10" spans="1:5" x14ac:dyDescent="0.25">
      <c r="A10" s="16" t="s">
        <v>72</v>
      </c>
      <c r="B10" s="16" t="s">
        <v>111</v>
      </c>
      <c r="C10" s="16" t="s">
        <v>113</v>
      </c>
      <c r="D10" s="16" t="s">
        <v>114</v>
      </c>
    </row>
    <row r="11" spans="1:5" x14ac:dyDescent="0.25">
      <c r="A11" s="16" t="s">
        <v>73</v>
      </c>
      <c r="B11" s="16" t="s">
        <v>112</v>
      </c>
      <c r="C11" s="16" t="s">
        <v>113</v>
      </c>
      <c r="D11" s="16" t="s">
        <v>114</v>
      </c>
    </row>
  </sheetData>
  <hyperlinks>
    <hyperlink ref="A2" r:id="rId1" xr:uid="{04D61E08-975C-49E6-9E18-451D008A6528}"/>
    <hyperlink ref="A3" r:id="rId2" xr:uid="{42DA9FC2-740C-4965-AEC3-D062A62476B6}"/>
    <hyperlink ref="A4" r:id="rId3" xr:uid="{C86BB707-E3AB-49E2-8214-38B68CEFD435}"/>
    <hyperlink ref="A5" r:id="rId4" xr:uid="{12DB4981-AE5A-4468-93B9-0787F88770FB}"/>
    <hyperlink ref="A6" r:id="rId5" xr:uid="{DDF41EF6-50E3-4424-B651-C6A15AC9388F}"/>
    <hyperlink ref="A7" r:id="rId6" xr:uid="{56352E14-06D5-4D10-AC88-F0649BB9503D}"/>
    <hyperlink ref="A8" r:id="rId7" xr:uid="{F90C590B-7ECE-44FB-9561-AB65E4A62931}"/>
    <hyperlink ref="A9" r:id="rId8" xr:uid="{941CE6E2-A027-435F-9BE1-B0C5E33BBC3A}"/>
    <hyperlink ref="A10" r:id="rId9" xr:uid="{42795ABB-39E2-49E4-91DC-C65D318EF6A2}"/>
    <hyperlink ref="A11" r:id="rId10" xr:uid="{C58C5A0F-DF8E-4790-989C-EEA6050A7B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26DD-11FD-4737-BBCA-63D16D652477}">
  <dimension ref="A1:I42"/>
  <sheetViews>
    <sheetView topLeftCell="A10" workbookViewId="0">
      <selection activeCell="D10" sqref="D10"/>
    </sheetView>
  </sheetViews>
  <sheetFormatPr defaultRowHeight="15" x14ac:dyDescent="0.25"/>
  <cols>
    <col min="1" max="1" width="16.75" customWidth="1"/>
    <col min="2" max="2" width="24.75" customWidth="1"/>
    <col min="3" max="3" width="16.375" customWidth="1"/>
    <col min="4" max="4" width="14.375" customWidth="1"/>
    <col min="5" max="5" width="22.25" customWidth="1"/>
    <col min="9" max="9" width="83.875" customWidth="1"/>
  </cols>
  <sheetData>
    <row r="1" spans="1:5" x14ac:dyDescent="0.25">
      <c r="A1" s="38" t="s">
        <v>115</v>
      </c>
      <c r="B1" s="38"/>
      <c r="C1" s="38"/>
    </row>
    <row r="2" spans="1:5" x14ac:dyDescent="0.25">
      <c r="A2" s="38"/>
      <c r="B2" s="38"/>
      <c r="C2" s="38"/>
    </row>
    <row r="3" spans="1:5" x14ac:dyDescent="0.25">
      <c r="A3" s="38"/>
      <c r="B3" s="38"/>
      <c r="C3" s="38"/>
    </row>
    <row r="7" spans="1:5" ht="17.25" x14ac:dyDescent="0.25">
      <c r="A7" s="113" t="s">
        <v>116</v>
      </c>
      <c r="B7" s="114" t="s">
        <v>50</v>
      </c>
      <c r="C7" s="114" t="s">
        <v>117</v>
      </c>
      <c r="D7" s="115" t="s">
        <v>62</v>
      </c>
      <c r="E7" s="116" t="s">
        <v>118</v>
      </c>
    </row>
    <row r="8" spans="1:5" ht="26.25" customHeight="1" x14ac:dyDescent="0.25">
      <c r="A8" s="106" t="s">
        <v>119</v>
      </c>
      <c r="B8" s="107" t="s">
        <v>120</v>
      </c>
      <c r="C8" s="107" t="s">
        <v>121</v>
      </c>
      <c r="D8" s="108">
        <v>32000</v>
      </c>
      <c r="E8" s="109">
        <f ca="1">RANDBETWEEN("12-1-26","12-12-26")</f>
        <v>46339</v>
      </c>
    </row>
    <row r="9" spans="1:5" ht="19.5" customHeight="1" x14ac:dyDescent="0.25">
      <c r="A9" s="106" t="s">
        <v>122</v>
      </c>
      <c r="B9" s="107" t="s">
        <v>123</v>
      </c>
      <c r="C9" s="107" t="s">
        <v>124</v>
      </c>
      <c r="D9" s="108">
        <v>45000</v>
      </c>
      <c r="E9" s="109">
        <f t="shared" ref="E9:E11" ca="1" si="0">RANDBETWEEN("12-1-26","12-12-26")</f>
        <v>46103</v>
      </c>
    </row>
    <row r="10" spans="1:5" ht="26.25" customHeight="1" x14ac:dyDescent="0.25">
      <c r="A10" s="106" t="s">
        <v>125</v>
      </c>
      <c r="B10" s="107" t="s">
        <v>126</v>
      </c>
      <c r="C10" s="107" t="s">
        <v>127</v>
      </c>
      <c r="D10" s="108">
        <v>38000</v>
      </c>
      <c r="E10" s="109">
        <f t="shared" ca="1" si="0"/>
        <v>46301</v>
      </c>
    </row>
    <row r="11" spans="1:5" ht="26.25" customHeight="1" x14ac:dyDescent="0.25">
      <c r="A11" s="106" t="s">
        <v>128</v>
      </c>
      <c r="B11" s="107" t="s">
        <v>129</v>
      </c>
      <c r="C11" s="107" t="s">
        <v>124</v>
      </c>
      <c r="D11" s="108">
        <v>52000</v>
      </c>
      <c r="E11" s="109">
        <f t="shared" ca="1" si="0"/>
        <v>46094</v>
      </c>
    </row>
    <row r="12" spans="1:5" ht="17.25" x14ac:dyDescent="0.25">
      <c r="A12" s="106" t="s">
        <v>130</v>
      </c>
      <c r="B12" s="107" t="s">
        <v>131</v>
      </c>
      <c r="C12" s="107" t="s">
        <v>132</v>
      </c>
      <c r="D12" s="108">
        <v>30000</v>
      </c>
      <c r="E12" s="109">
        <f ca="1">RANDBETWEEN(DATE(2025,1,7),(DATE(2026,12,11)))</f>
        <v>46092</v>
      </c>
    </row>
    <row r="13" spans="1:5" ht="17.25" x14ac:dyDescent="0.25">
      <c r="A13" s="106" t="s">
        <v>133</v>
      </c>
      <c r="B13" s="107" t="s">
        <v>95</v>
      </c>
      <c r="C13" s="107" t="s">
        <v>127</v>
      </c>
      <c r="D13" s="108">
        <v>50000</v>
      </c>
      <c r="E13" s="109">
        <f t="shared" ref="E13:E28" ca="1" si="1">RANDBETWEEN(DATE(2025,1,7),(DATE(2026,12,11)))</f>
        <v>46226</v>
      </c>
    </row>
    <row r="14" spans="1:5" ht="17.25" x14ac:dyDescent="0.25">
      <c r="A14" s="106" t="s">
        <v>134</v>
      </c>
      <c r="B14" s="107" t="s">
        <v>148</v>
      </c>
      <c r="C14" s="107" t="s">
        <v>132</v>
      </c>
      <c r="D14" s="108">
        <v>45000</v>
      </c>
      <c r="E14" s="109">
        <f t="shared" ca="1" si="1"/>
        <v>46085</v>
      </c>
    </row>
    <row r="15" spans="1:5" ht="17.25" x14ac:dyDescent="0.25">
      <c r="A15" s="106" t="s">
        <v>135</v>
      </c>
      <c r="B15" s="107" t="s">
        <v>149</v>
      </c>
      <c r="C15" s="107" t="s">
        <v>121</v>
      </c>
      <c r="D15" s="108">
        <v>15000</v>
      </c>
      <c r="E15" s="109">
        <f t="shared" ca="1" si="1"/>
        <v>45930</v>
      </c>
    </row>
    <row r="16" spans="1:5" ht="17.25" x14ac:dyDescent="0.25">
      <c r="A16" s="106" t="s">
        <v>136</v>
      </c>
      <c r="B16" s="107" t="s">
        <v>150</v>
      </c>
      <c r="C16" s="107" t="s">
        <v>121</v>
      </c>
      <c r="D16" s="108">
        <v>25000</v>
      </c>
      <c r="E16" s="109">
        <f t="shared" ca="1" si="1"/>
        <v>45896</v>
      </c>
    </row>
    <row r="17" spans="1:5" ht="17.25" x14ac:dyDescent="0.25">
      <c r="A17" s="106" t="s">
        <v>137</v>
      </c>
      <c r="B17" s="107" t="s">
        <v>151</v>
      </c>
      <c r="C17" s="107" t="s">
        <v>124</v>
      </c>
      <c r="D17" s="108">
        <v>47000</v>
      </c>
      <c r="E17" s="109">
        <f t="shared" ca="1" si="1"/>
        <v>45965</v>
      </c>
    </row>
    <row r="18" spans="1:5" ht="17.25" x14ac:dyDescent="0.25">
      <c r="A18" s="106" t="s">
        <v>138</v>
      </c>
      <c r="B18" s="107" t="s">
        <v>152</v>
      </c>
      <c r="C18" s="107" t="s">
        <v>127</v>
      </c>
      <c r="D18" s="108">
        <v>13000</v>
      </c>
      <c r="E18" s="109">
        <f t="shared" ca="1" si="1"/>
        <v>45826</v>
      </c>
    </row>
    <row r="19" spans="1:5" ht="17.25" x14ac:dyDescent="0.25">
      <c r="A19" s="106" t="s">
        <v>139</v>
      </c>
      <c r="B19" s="107" t="s">
        <v>153</v>
      </c>
      <c r="C19" s="107" t="s">
        <v>124</v>
      </c>
      <c r="D19" s="108">
        <v>12000</v>
      </c>
      <c r="E19" s="109">
        <f t="shared" ca="1" si="1"/>
        <v>46104</v>
      </c>
    </row>
    <row r="20" spans="1:5" ht="17.25" x14ac:dyDescent="0.25">
      <c r="A20" s="106" t="s">
        <v>140</v>
      </c>
      <c r="B20" s="107" t="s">
        <v>154</v>
      </c>
      <c r="C20" s="107" t="s">
        <v>132</v>
      </c>
      <c r="D20" s="108">
        <v>88000</v>
      </c>
      <c r="E20" s="109">
        <f t="shared" ca="1" si="1"/>
        <v>46133</v>
      </c>
    </row>
    <row r="21" spans="1:5" ht="17.25" x14ac:dyDescent="0.25">
      <c r="A21" s="106" t="s">
        <v>141</v>
      </c>
      <c r="B21" s="107" t="s">
        <v>155</v>
      </c>
      <c r="C21" s="107" t="s">
        <v>127</v>
      </c>
      <c r="D21" s="108">
        <v>45000</v>
      </c>
      <c r="E21" s="109">
        <f t="shared" ca="1" si="1"/>
        <v>46367</v>
      </c>
    </row>
    <row r="22" spans="1:5" ht="17.25" x14ac:dyDescent="0.25">
      <c r="A22" s="106" t="s">
        <v>142</v>
      </c>
      <c r="B22" s="107" t="s">
        <v>156</v>
      </c>
      <c r="C22" s="107" t="s">
        <v>132</v>
      </c>
      <c r="D22" s="108">
        <v>20000</v>
      </c>
      <c r="E22" s="109">
        <f t="shared" ca="1" si="1"/>
        <v>46321</v>
      </c>
    </row>
    <row r="23" spans="1:5" ht="17.25" x14ac:dyDescent="0.25">
      <c r="A23" s="106" t="s">
        <v>143</v>
      </c>
      <c r="B23" s="107" t="s">
        <v>157</v>
      </c>
      <c r="C23" s="107" t="s">
        <v>121</v>
      </c>
      <c r="D23" s="108">
        <v>9000</v>
      </c>
      <c r="E23" s="109">
        <f t="shared" ca="1" si="1"/>
        <v>45990</v>
      </c>
    </row>
    <row r="24" spans="1:5" ht="17.25" x14ac:dyDescent="0.25">
      <c r="A24" s="106" t="s">
        <v>144</v>
      </c>
      <c r="B24" s="107" t="s">
        <v>158</v>
      </c>
      <c r="C24" s="107" t="s">
        <v>121</v>
      </c>
      <c r="D24" s="108">
        <v>32000</v>
      </c>
      <c r="E24" s="109">
        <f t="shared" ca="1" si="1"/>
        <v>45903</v>
      </c>
    </row>
    <row r="25" spans="1:5" ht="17.25" x14ac:dyDescent="0.25">
      <c r="A25" s="106" t="s">
        <v>145</v>
      </c>
      <c r="B25" s="107" t="s">
        <v>159</v>
      </c>
      <c r="C25" s="107" t="s">
        <v>124</v>
      </c>
      <c r="D25" s="108">
        <v>47000</v>
      </c>
      <c r="E25" s="109">
        <f t="shared" ca="1" si="1"/>
        <v>46169</v>
      </c>
    </row>
    <row r="26" spans="1:5" ht="17.25" x14ac:dyDescent="0.25">
      <c r="A26" s="106" t="s">
        <v>146</v>
      </c>
      <c r="B26" s="107" t="s">
        <v>160</v>
      </c>
      <c r="C26" s="107" t="s">
        <v>127</v>
      </c>
      <c r="D26" s="108">
        <v>15000</v>
      </c>
      <c r="E26" s="109">
        <f t="shared" ca="1" si="1"/>
        <v>45981</v>
      </c>
    </row>
    <row r="27" spans="1:5" ht="17.25" x14ac:dyDescent="0.25">
      <c r="A27" s="110" t="s">
        <v>147</v>
      </c>
      <c r="B27" s="111" t="s">
        <v>161</v>
      </c>
      <c r="C27" s="111" t="s">
        <v>124</v>
      </c>
      <c r="D27" s="117"/>
      <c r="E27" s="112">
        <f t="shared" ca="1" si="1"/>
        <v>46346</v>
      </c>
    </row>
    <row r="28" spans="1:5" ht="17.25" x14ac:dyDescent="0.25">
      <c r="A28" s="103"/>
      <c r="B28" s="103"/>
      <c r="C28" s="103"/>
      <c r="D28" s="103"/>
      <c r="E28" s="102"/>
    </row>
    <row r="38" spans="9:9" x14ac:dyDescent="0.25">
      <c r="I38" s="104" t="s">
        <v>289</v>
      </c>
    </row>
    <row r="39" spans="9:9" ht="17.25" x14ac:dyDescent="0.25">
      <c r="I39" s="105" t="s">
        <v>162</v>
      </c>
    </row>
    <row r="40" spans="9:9" ht="17.25" x14ac:dyDescent="0.25">
      <c r="I40" s="105" t="s">
        <v>163</v>
      </c>
    </row>
    <row r="41" spans="9:9" ht="17.25" x14ac:dyDescent="0.25">
      <c r="I41" s="105" t="s">
        <v>164</v>
      </c>
    </row>
    <row r="42" spans="9:9" ht="17.25" x14ac:dyDescent="0.25">
      <c r="I42" s="105" t="s">
        <v>165</v>
      </c>
    </row>
  </sheetData>
  <mergeCells count="1">
    <mergeCell ref="A1:C3"/>
  </mergeCells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E2D8-74A5-432A-9E18-A5EBB2534500}">
  <dimension ref="A1:F21"/>
  <sheetViews>
    <sheetView workbookViewId="0">
      <selection activeCell="F16" sqref="F16"/>
    </sheetView>
  </sheetViews>
  <sheetFormatPr defaultRowHeight="15" x14ac:dyDescent="0.25"/>
  <cols>
    <col min="1" max="1" width="32.875" customWidth="1"/>
    <col min="3" max="3" width="17.375" customWidth="1"/>
    <col min="4" max="4" width="24.25" customWidth="1"/>
    <col min="6" max="6" width="87.25" customWidth="1"/>
  </cols>
  <sheetData>
    <row r="1" spans="1:6" ht="33" customHeight="1" x14ac:dyDescent="0.25">
      <c r="A1" s="80" t="s">
        <v>182</v>
      </c>
      <c r="B1" s="80"/>
      <c r="C1" s="80"/>
      <c r="D1" s="80"/>
      <c r="F1" s="99" t="s">
        <v>289</v>
      </c>
    </row>
    <row r="2" spans="1:6" ht="17.25" x14ac:dyDescent="0.25">
      <c r="A2" s="81" t="s">
        <v>166</v>
      </c>
      <c r="B2" s="81" t="s">
        <v>167</v>
      </c>
      <c r="C2" s="81" t="s">
        <v>168</v>
      </c>
      <c r="D2" s="81" t="s">
        <v>169</v>
      </c>
      <c r="F2" s="100" t="s">
        <v>187</v>
      </c>
    </row>
    <row r="3" spans="1:6" ht="17.25" x14ac:dyDescent="0.25">
      <c r="A3" s="31" t="s">
        <v>170</v>
      </c>
      <c r="B3" s="29" t="s">
        <v>171</v>
      </c>
      <c r="C3" s="32">
        <v>45000</v>
      </c>
      <c r="D3" s="29" t="s">
        <v>172</v>
      </c>
      <c r="F3" s="101"/>
    </row>
    <row r="4" spans="1:6" ht="17.25" x14ac:dyDescent="0.25">
      <c r="A4" s="31" t="s">
        <v>173</v>
      </c>
      <c r="B4" s="29" t="s">
        <v>174</v>
      </c>
      <c r="C4" s="32">
        <v>1200</v>
      </c>
      <c r="D4" s="29" t="s">
        <v>175</v>
      </c>
      <c r="F4" s="101"/>
    </row>
    <row r="5" spans="1:6" ht="17.25" x14ac:dyDescent="0.25">
      <c r="A5" s="31" t="s">
        <v>176</v>
      </c>
      <c r="B5" s="29" t="s">
        <v>177</v>
      </c>
      <c r="C5" s="32">
        <v>18000</v>
      </c>
      <c r="D5" s="29" t="s">
        <v>178</v>
      </c>
      <c r="F5" s="101"/>
    </row>
    <row r="6" spans="1:6" ht="17.25" x14ac:dyDescent="0.25">
      <c r="A6" s="31" t="s">
        <v>179</v>
      </c>
      <c r="B6" s="29" t="s">
        <v>180</v>
      </c>
      <c r="C6" s="32">
        <v>62000</v>
      </c>
      <c r="D6" s="29" t="s">
        <v>181</v>
      </c>
      <c r="F6" s="101"/>
    </row>
    <row r="7" spans="1:6" ht="17.25" x14ac:dyDescent="0.25">
      <c r="A7" s="31" t="s">
        <v>183</v>
      </c>
      <c r="B7" s="29" t="s">
        <v>171</v>
      </c>
      <c r="C7" s="33">
        <v>37592</v>
      </c>
      <c r="D7" s="29" t="s">
        <v>131</v>
      </c>
    </row>
    <row r="8" spans="1:6" ht="17.25" x14ac:dyDescent="0.25">
      <c r="A8" s="31" t="s">
        <v>173</v>
      </c>
      <c r="B8" s="29" t="s">
        <v>174</v>
      </c>
      <c r="C8" s="33">
        <v>70052</v>
      </c>
      <c r="D8" s="29" t="s">
        <v>95</v>
      </c>
    </row>
    <row r="9" spans="1:6" ht="17.25" x14ac:dyDescent="0.25">
      <c r="A9" s="31" t="s">
        <v>176</v>
      </c>
      <c r="B9" s="29" t="s">
        <v>177</v>
      </c>
      <c r="C9" s="33">
        <v>50857</v>
      </c>
      <c r="D9" s="29" t="s">
        <v>148</v>
      </c>
    </row>
    <row r="10" spans="1:6" ht="17.25" x14ac:dyDescent="0.25">
      <c r="A10" s="31" t="s">
        <v>179</v>
      </c>
      <c r="B10" s="29" t="s">
        <v>180</v>
      </c>
      <c r="C10" s="33">
        <v>35070</v>
      </c>
      <c r="D10" s="29" t="s">
        <v>149</v>
      </c>
    </row>
    <row r="11" spans="1:6" ht="17.25" x14ac:dyDescent="0.25">
      <c r="A11" s="31" t="s">
        <v>184</v>
      </c>
      <c r="B11" s="29" t="s">
        <v>171</v>
      </c>
      <c r="C11" s="33">
        <v>20266</v>
      </c>
      <c r="D11" s="29" t="s">
        <v>150</v>
      </c>
    </row>
    <row r="12" spans="1:6" ht="17.25" x14ac:dyDescent="0.25">
      <c r="A12" s="31" t="s">
        <v>173</v>
      </c>
      <c r="B12" s="29" t="s">
        <v>174</v>
      </c>
      <c r="C12" s="33">
        <v>68842</v>
      </c>
      <c r="D12" s="29" t="s">
        <v>151</v>
      </c>
    </row>
    <row r="13" spans="1:6" ht="17.25" x14ac:dyDescent="0.25">
      <c r="A13" s="31" t="s">
        <v>176</v>
      </c>
      <c r="B13" s="29" t="s">
        <v>177</v>
      </c>
      <c r="C13" s="33">
        <v>61892</v>
      </c>
      <c r="D13" s="29" t="s">
        <v>152</v>
      </c>
    </row>
    <row r="14" spans="1:6" ht="17.25" x14ac:dyDescent="0.25">
      <c r="A14" s="31" t="s">
        <v>179</v>
      </c>
      <c r="B14" s="29" t="s">
        <v>180</v>
      </c>
      <c r="C14" s="33">
        <v>76221</v>
      </c>
      <c r="D14" s="29" t="s">
        <v>153</v>
      </c>
    </row>
    <row r="15" spans="1:6" ht="17.25" x14ac:dyDescent="0.25">
      <c r="A15" s="31" t="s">
        <v>185</v>
      </c>
      <c r="B15" s="29" t="s">
        <v>171</v>
      </c>
      <c r="C15" s="33">
        <v>52040</v>
      </c>
      <c r="D15" s="29" t="s">
        <v>154</v>
      </c>
    </row>
    <row r="16" spans="1:6" ht="17.25" x14ac:dyDescent="0.25">
      <c r="A16" s="31" t="s">
        <v>173</v>
      </c>
      <c r="B16" s="29" t="s">
        <v>174</v>
      </c>
      <c r="C16" s="33">
        <v>76446</v>
      </c>
      <c r="D16" s="29" t="s">
        <v>155</v>
      </c>
    </row>
    <row r="17" spans="1:4" ht="17.25" x14ac:dyDescent="0.25">
      <c r="A17" s="31" t="s">
        <v>176</v>
      </c>
      <c r="B17" s="29" t="s">
        <v>177</v>
      </c>
      <c r="C17" s="33">
        <v>16533</v>
      </c>
      <c r="D17" s="29" t="s">
        <v>156</v>
      </c>
    </row>
    <row r="18" spans="1:4" ht="17.25" x14ac:dyDescent="0.25">
      <c r="A18" s="31" t="s">
        <v>179</v>
      </c>
      <c r="B18" s="29" t="s">
        <v>180</v>
      </c>
      <c r="C18" s="33">
        <v>27322</v>
      </c>
      <c r="D18" s="29" t="s">
        <v>157</v>
      </c>
    </row>
    <row r="19" spans="1:4" ht="17.25" x14ac:dyDescent="0.25">
      <c r="A19" s="31" t="s">
        <v>186</v>
      </c>
      <c r="B19" s="29" t="s">
        <v>171</v>
      </c>
      <c r="C19" s="33">
        <v>65730</v>
      </c>
      <c r="D19" s="29" t="s">
        <v>158</v>
      </c>
    </row>
    <row r="20" spans="1:4" ht="17.25" x14ac:dyDescent="0.25">
      <c r="A20" s="31" t="s">
        <v>173</v>
      </c>
      <c r="B20" s="29" t="s">
        <v>174</v>
      </c>
      <c r="C20" s="33">
        <v>79246</v>
      </c>
      <c r="D20" s="29" t="s">
        <v>159</v>
      </c>
    </row>
    <row r="21" spans="1:4" ht="17.25" x14ac:dyDescent="0.25">
      <c r="A21" s="31" t="s">
        <v>176</v>
      </c>
      <c r="B21" s="29" t="s">
        <v>177</v>
      </c>
      <c r="C21" s="33">
        <v>25688</v>
      </c>
      <c r="D21" s="29" t="s">
        <v>131</v>
      </c>
    </row>
  </sheetData>
  <mergeCells count="2">
    <mergeCell ref="A1:D1"/>
    <mergeCell ref="F2:F6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A20E-6CDF-4605-AE91-1E783F778D22}">
  <dimension ref="A1:J22"/>
  <sheetViews>
    <sheetView tabSelected="1" workbookViewId="0">
      <selection activeCell="I14" sqref="I14"/>
    </sheetView>
  </sheetViews>
  <sheetFormatPr defaultRowHeight="15" x14ac:dyDescent="0.25"/>
  <cols>
    <col min="1" max="1" width="21.625" customWidth="1"/>
    <col min="2" max="2" width="21.875" customWidth="1"/>
    <col min="3" max="3" width="13.875" customWidth="1"/>
    <col min="4" max="4" width="14.5" customWidth="1"/>
    <col min="5" max="6" width="13.375" customWidth="1"/>
    <col min="7" max="7" width="14.25" customWidth="1"/>
    <col min="10" max="10" width="57.875" customWidth="1"/>
  </cols>
  <sheetData>
    <row r="1" spans="1:10" s="39" customFormat="1" ht="15.75" x14ac:dyDescent="0.25">
      <c r="A1" s="94" t="s">
        <v>195</v>
      </c>
      <c r="B1" s="94" t="s">
        <v>188</v>
      </c>
      <c r="C1" s="94" t="s">
        <v>189</v>
      </c>
      <c r="D1" s="94" t="s">
        <v>10</v>
      </c>
      <c r="E1" s="94" t="s">
        <v>11</v>
      </c>
      <c r="F1" s="94" t="s">
        <v>74</v>
      </c>
      <c r="G1" s="94" t="s">
        <v>28</v>
      </c>
    </row>
    <row r="2" spans="1:10" s="39" customFormat="1" ht="15.75" x14ac:dyDescent="0.25">
      <c r="A2" s="74">
        <v>1</v>
      </c>
      <c r="B2" s="74" t="s">
        <v>190</v>
      </c>
      <c r="C2" s="74">
        <v>78</v>
      </c>
      <c r="D2" s="74">
        <v>82</v>
      </c>
      <c r="E2" s="74">
        <v>74</v>
      </c>
      <c r="F2" s="74">
        <v>234</v>
      </c>
      <c r="G2" s="96">
        <v>0.78</v>
      </c>
      <c r="J2" s="95" t="s">
        <v>289</v>
      </c>
    </row>
    <row r="3" spans="1:10" s="39" customFormat="1" ht="17.25" x14ac:dyDescent="0.25">
      <c r="A3" s="74">
        <v>2</v>
      </c>
      <c r="B3" s="74" t="s">
        <v>191</v>
      </c>
      <c r="C3" s="74">
        <v>65</v>
      </c>
      <c r="D3" s="74">
        <v>70</v>
      </c>
      <c r="E3" s="74">
        <v>68</v>
      </c>
      <c r="F3" s="74">
        <v>203</v>
      </c>
      <c r="G3" s="96">
        <v>0.67666666666666664</v>
      </c>
      <c r="J3" s="30" t="s">
        <v>297</v>
      </c>
    </row>
    <row r="4" spans="1:10" s="39" customFormat="1" ht="17.25" x14ac:dyDescent="0.25">
      <c r="A4" s="74">
        <v>3</v>
      </c>
      <c r="B4" s="74" t="s">
        <v>192</v>
      </c>
      <c r="C4" s="74">
        <v>90</v>
      </c>
      <c r="D4" s="74">
        <v>88</v>
      </c>
      <c r="E4" s="74">
        <v>92</v>
      </c>
      <c r="F4" s="74">
        <v>270</v>
      </c>
      <c r="G4" s="96">
        <v>0.9</v>
      </c>
      <c r="J4" s="30" t="s">
        <v>298</v>
      </c>
    </row>
    <row r="5" spans="1:10" s="39" customFormat="1" ht="17.25" x14ac:dyDescent="0.25">
      <c r="A5" s="74">
        <v>4</v>
      </c>
      <c r="B5" s="74" t="s">
        <v>193</v>
      </c>
      <c r="C5" s="74">
        <v>35</v>
      </c>
      <c r="D5" s="74">
        <v>40</v>
      </c>
      <c r="E5" s="74">
        <v>38</v>
      </c>
      <c r="F5" s="74">
        <v>113</v>
      </c>
      <c r="G5" s="96">
        <v>0.37666666666666665</v>
      </c>
      <c r="J5" s="30" t="s">
        <v>299</v>
      </c>
    </row>
    <row r="6" spans="1:10" s="39" customFormat="1" ht="15.75" x14ac:dyDescent="0.25">
      <c r="A6" s="74">
        <v>5</v>
      </c>
      <c r="B6" s="74" t="s">
        <v>194</v>
      </c>
      <c r="C6" s="74">
        <v>55</v>
      </c>
      <c r="D6" s="74">
        <v>60</v>
      </c>
      <c r="E6" s="74">
        <v>58</v>
      </c>
      <c r="F6" s="74">
        <v>173</v>
      </c>
      <c r="G6" s="96">
        <v>0.57666666666666666</v>
      </c>
    </row>
    <row r="7" spans="1:10" s="39" customFormat="1" ht="15.75" x14ac:dyDescent="0.25">
      <c r="A7" s="74">
        <v>6</v>
      </c>
      <c r="B7" s="74" t="s">
        <v>172</v>
      </c>
      <c r="C7" s="97">
        <v>100</v>
      </c>
      <c r="D7" s="97">
        <v>67</v>
      </c>
      <c r="E7" s="97">
        <v>92</v>
      </c>
      <c r="F7" s="74">
        <v>259</v>
      </c>
      <c r="G7" s="96">
        <v>0.86333333333333329</v>
      </c>
    </row>
    <row r="8" spans="1:10" s="39" customFormat="1" ht="15.75" x14ac:dyDescent="0.25">
      <c r="A8" s="74">
        <v>7</v>
      </c>
      <c r="B8" s="74" t="s">
        <v>175</v>
      </c>
      <c r="C8" s="97">
        <v>56</v>
      </c>
      <c r="D8" s="97">
        <v>64</v>
      </c>
      <c r="E8" s="97">
        <v>90</v>
      </c>
      <c r="F8" s="74">
        <v>210</v>
      </c>
      <c r="G8" s="96">
        <v>0.7</v>
      </c>
    </row>
    <row r="9" spans="1:10" s="39" customFormat="1" ht="15.75" x14ac:dyDescent="0.25">
      <c r="A9" s="74">
        <v>8</v>
      </c>
      <c r="B9" s="74" t="s">
        <v>178</v>
      </c>
      <c r="C9" s="97">
        <v>98</v>
      </c>
      <c r="D9" s="97">
        <v>88</v>
      </c>
      <c r="E9" s="97">
        <v>58</v>
      </c>
      <c r="F9" s="74">
        <v>244</v>
      </c>
      <c r="G9" s="96">
        <v>0.81333333333333335</v>
      </c>
    </row>
    <row r="10" spans="1:10" s="39" customFormat="1" ht="15.75" x14ac:dyDescent="0.25">
      <c r="A10" s="74">
        <v>9</v>
      </c>
      <c r="B10" s="74" t="s">
        <v>181</v>
      </c>
      <c r="C10" s="97">
        <v>72</v>
      </c>
      <c r="D10" s="97">
        <v>63</v>
      </c>
      <c r="E10" s="97">
        <v>79</v>
      </c>
      <c r="F10" s="74">
        <v>214</v>
      </c>
      <c r="G10" s="96">
        <v>0.71333333333333337</v>
      </c>
    </row>
    <row r="11" spans="1:10" s="39" customFormat="1" ht="15.75" x14ac:dyDescent="0.25">
      <c r="A11" s="74">
        <v>10</v>
      </c>
      <c r="B11" s="74" t="s">
        <v>152</v>
      </c>
      <c r="C11" s="97">
        <v>54</v>
      </c>
      <c r="D11" s="97">
        <v>99</v>
      </c>
      <c r="E11" s="97">
        <v>97</v>
      </c>
      <c r="F11" s="74">
        <v>250</v>
      </c>
      <c r="G11" s="96">
        <v>0.83333333333333337</v>
      </c>
    </row>
    <row r="12" spans="1:10" s="39" customFormat="1" ht="15.75" x14ac:dyDescent="0.25">
      <c r="A12" s="74">
        <v>11</v>
      </c>
      <c r="B12" s="74" t="s">
        <v>153</v>
      </c>
      <c r="C12" s="97">
        <v>54</v>
      </c>
      <c r="D12" s="97">
        <v>83</v>
      </c>
      <c r="E12" s="97">
        <v>57</v>
      </c>
      <c r="F12" s="74">
        <v>194</v>
      </c>
      <c r="G12" s="96">
        <v>0.64666666666666661</v>
      </c>
    </row>
    <row r="13" spans="1:10" s="39" customFormat="1" ht="15.75" x14ac:dyDescent="0.25">
      <c r="A13" s="74">
        <v>12</v>
      </c>
      <c r="B13" s="74" t="s">
        <v>154</v>
      </c>
      <c r="C13" s="97">
        <v>80</v>
      </c>
      <c r="D13" s="97">
        <v>79</v>
      </c>
      <c r="E13" s="97">
        <v>77</v>
      </c>
      <c r="F13" s="74">
        <v>236</v>
      </c>
      <c r="G13" s="96">
        <v>0.78666666666666663</v>
      </c>
    </row>
    <row r="14" spans="1:10" s="39" customFormat="1" ht="15.75" x14ac:dyDescent="0.25">
      <c r="A14" s="74">
        <v>13</v>
      </c>
      <c r="B14" s="74" t="s">
        <v>155</v>
      </c>
      <c r="C14" s="97">
        <v>88</v>
      </c>
      <c r="D14" s="97">
        <v>87</v>
      </c>
      <c r="E14" s="97">
        <v>93</v>
      </c>
      <c r="F14" s="74">
        <v>268</v>
      </c>
      <c r="G14" s="96">
        <v>0.89333333333333331</v>
      </c>
    </row>
    <row r="15" spans="1:10" s="39" customFormat="1" ht="15.75" x14ac:dyDescent="0.25">
      <c r="A15" s="74">
        <v>14</v>
      </c>
      <c r="B15" s="74" t="s">
        <v>156</v>
      </c>
      <c r="C15" s="97">
        <v>88</v>
      </c>
      <c r="D15" s="97">
        <v>97</v>
      </c>
      <c r="E15" s="97">
        <v>77</v>
      </c>
      <c r="F15" s="74">
        <v>262</v>
      </c>
      <c r="G15" s="96">
        <v>0.87333333333333329</v>
      </c>
    </row>
    <row r="16" spans="1:10" s="39" customFormat="1" ht="15.75" x14ac:dyDescent="0.25">
      <c r="A16" s="74">
        <v>15</v>
      </c>
      <c r="B16" s="74" t="s">
        <v>157</v>
      </c>
      <c r="C16" s="97">
        <v>82</v>
      </c>
      <c r="D16" s="97">
        <v>99</v>
      </c>
      <c r="E16" s="97">
        <v>66</v>
      </c>
      <c r="F16" s="74">
        <v>247</v>
      </c>
      <c r="G16" s="96">
        <v>0.82333333333333336</v>
      </c>
    </row>
    <row r="17" spans="1:7" s="39" customFormat="1" ht="15.75" x14ac:dyDescent="0.25">
      <c r="A17" s="74">
        <v>16</v>
      </c>
      <c r="B17" s="74" t="s">
        <v>158</v>
      </c>
      <c r="C17" s="97">
        <v>97</v>
      </c>
      <c r="D17" s="97">
        <v>94</v>
      </c>
      <c r="E17" s="97">
        <v>95</v>
      </c>
      <c r="F17" s="74">
        <v>286</v>
      </c>
      <c r="G17" s="96">
        <v>0.95333333333333337</v>
      </c>
    </row>
    <row r="18" spans="1:7" s="39" customFormat="1" ht="15.75" x14ac:dyDescent="0.25">
      <c r="A18" s="74">
        <v>17</v>
      </c>
      <c r="B18" s="74" t="s">
        <v>159</v>
      </c>
      <c r="C18" s="97">
        <v>95</v>
      </c>
      <c r="D18" s="97">
        <v>73</v>
      </c>
      <c r="E18" s="97">
        <v>52</v>
      </c>
      <c r="F18" s="74">
        <v>220</v>
      </c>
      <c r="G18" s="96">
        <v>0.73333333333333328</v>
      </c>
    </row>
    <row r="19" spans="1:7" s="39" customFormat="1" ht="15.75" x14ac:dyDescent="0.25">
      <c r="A19" s="74">
        <v>18</v>
      </c>
      <c r="B19" s="74" t="s">
        <v>157</v>
      </c>
      <c r="C19" s="97">
        <v>87</v>
      </c>
      <c r="D19" s="97">
        <v>73</v>
      </c>
      <c r="E19" s="97">
        <v>92</v>
      </c>
      <c r="F19" s="74">
        <v>252</v>
      </c>
      <c r="G19" s="96">
        <v>0.84</v>
      </c>
    </row>
    <row r="20" spans="1:7" s="39" customFormat="1" ht="15.75" x14ac:dyDescent="0.25">
      <c r="A20" s="74">
        <v>19</v>
      </c>
      <c r="B20" s="74" t="s">
        <v>158</v>
      </c>
      <c r="C20" s="97">
        <v>61</v>
      </c>
      <c r="D20" s="97">
        <v>67</v>
      </c>
      <c r="E20" s="97">
        <v>75</v>
      </c>
      <c r="F20" s="74">
        <v>203</v>
      </c>
      <c r="G20" s="96">
        <v>0.67666666666666664</v>
      </c>
    </row>
    <row r="21" spans="1:7" s="39" customFormat="1" ht="15.75" x14ac:dyDescent="0.25">
      <c r="A21" s="74">
        <v>20</v>
      </c>
      <c r="B21" s="74" t="s">
        <v>159</v>
      </c>
      <c r="C21" s="97">
        <v>63</v>
      </c>
      <c r="D21" s="97">
        <v>95</v>
      </c>
      <c r="E21" s="97">
        <v>74</v>
      </c>
      <c r="F21" s="74">
        <v>232</v>
      </c>
      <c r="G21" s="96">
        <v>0.77333333333333332</v>
      </c>
    </row>
    <row r="22" spans="1:7" x14ac:dyDescent="0.25">
      <c r="A22" s="98"/>
      <c r="B22" s="98"/>
      <c r="C22" s="98"/>
      <c r="D22" s="98"/>
      <c r="E22" s="98"/>
      <c r="F22" s="98"/>
      <c r="G22" s="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0D77-B68A-4EC5-BE7C-9162C95A2F9C}">
  <dimension ref="A1:G25"/>
  <sheetViews>
    <sheetView workbookViewId="0">
      <selection activeCell="D4" sqref="D4"/>
    </sheetView>
  </sheetViews>
  <sheetFormatPr defaultRowHeight="15" x14ac:dyDescent="0.25"/>
  <cols>
    <col min="1" max="1" width="11.375" customWidth="1"/>
    <col min="2" max="2" width="15.125" customWidth="1"/>
    <col min="3" max="3" width="16.875" customWidth="1"/>
    <col min="7" max="7" width="51.25" customWidth="1"/>
  </cols>
  <sheetData>
    <row r="1" spans="1:7" ht="17.25" x14ac:dyDescent="0.25">
      <c r="A1" s="48" t="s">
        <v>196</v>
      </c>
      <c r="B1" s="48" t="s">
        <v>197</v>
      </c>
      <c r="C1" s="48" t="s">
        <v>168</v>
      </c>
      <c r="G1" s="93" t="s">
        <v>289</v>
      </c>
    </row>
    <row r="2" spans="1:7" ht="17.25" x14ac:dyDescent="0.25">
      <c r="A2" s="42" t="s">
        <v>198</v>
      </c>
      <c r="B2" s="43">
        <v>45292</v>
      </c>
      <c r="C2" s="42">
        <v>12000</v>
      </c>
      <c r="G2" s="65" t="s">
        <v>222</v>
      </c>
    </row>
    <row r="3" spans="1:7" ht="17.25" x14ac:dyDescent="0.25">
      <c r="A3" s="44" t="s">
        <v>199</v>
      </c>
      <c r="B3" s="43">
        <v>45293</v>
      </c>
      <c r="C3" s="44">
        <v>25000</v>
      </c>
      <c r="G3" s="65" t="s">
        <v>223</v>
      </c>
    </row>
    <row r="4" spans="1:7" ht="17.25" x14ac:dyDescent="0.25">
      <c r="A4" s="42" t="s">
        <v>200</v>
      </c>
      <c r="B4" s="43">
        <v>45294</v>
      </c>
      <c r="C4" s="42">
        <v>8000</v>
      </c>
      <c r="G4" s="65" t="s">
        <v>224</v>
      </c>
    </row>
    <row r="5" spans="1:7" ht="17.25" x14ac:dyDescent="0.25">
      <c r="A5" s="44" t="s">
        <v>201</v>
      </c>
      <c r="B5" s="43">
        <v>45295</v>
      </c>
      <c r="C5" s="44">
        <v>32000</v>
      </c>
    </row>
    <row r="6" spans="1:7" ht="17.25" x14ac:dyDescent="0.25">
      <c r="A6" s="42" t="s">
        <v>202</v>
      </c>
      <c r="B6" s="43">
        <v>45296</v>
      </c>
      <c r="C6" s="42">
        <v>15000</v>
      </c>
    </row>
    <row r="7" spans="1:7" ht="17.25" x14ac:dyDescent="0.25">
      <c r="A7" s="42" t="s">
        <v>203</v>
      </c>
      <c r="B7" s="43">
        <v>45297</v>
      </c>
      <c r="C7" s="45">
        <v>12315</v>
      </c>
    </row>
    <row r="8" spans="1:7" ht="17.25" x14ac:dyDescent="0.25">
      <c r="A8" s="44" t="s">
        <v>204</v>
      </c>
      <c r="B8" s="43">
        <v>45298</v>
      </c>
      <c r="C8" s="45">
        <v>10236</v>
      </c>
    </row>
    <row r="9" spans="1:7" ht="17.25" x14ac:dyDescent="0.25">
      <c r="A9" s="42" t="s">
        <v>205</v>
      </c>
      <c r="B9" s="43">
        <v>45299</v>
      </c>
      <c r="C9" s="45">
        <v>16057</v>
      </c>
    </row>
    <row r="10" spans="1:7" ht="17.25" x14ac:dyDescent="0.25">
      <c r="A10" s="44" t="s">
        <v>206</v>
      </c>
      <c r="B10" s="43">
        <v>45300</v>
      </c>
      <c r="C10" s="45">
        <v>16594</v>
      </c>
    </row>
    <row r="11" spans="1:7" ht="17.25" x14ac:dyDescent="0.25">
      <c r="A11" s="42" t="s">
        <v>207</v>
      </c>
      <c r="B11" s="43">
        <v>45301</v>
      </c>
      <c r="C11" s="45">
        <v>17379</v>
      </c>
    </row>
    <row r="12" spans="1:7" ht="17.25" x14ac:dyDescent="0.25">
      <c r="A12" s="42" t="s">
        <v>208</v>
      </c>
      <c r="B12" s="43">
        <v>45302</v>
      </c>
      <c r="C12" s="45">
        <v>11329</v>
      </c>
    </row>
    <row r="13" spans="1:7" ht="17.25" x14ac:dyDescent="0.25">
      <c r="A13" s="44" t="s">
        <v>209</v>
      </c>
      <c r="B13" s="43">
        <v>45303</v>
      </c>
      <c r="C13" s="45">
        <v>12045</v>
      </c>
    </row>
    <row r="14" spans="1:7" ht="17.25" x14ac:dyDescent="0.25">
      <c r="A14" s="42" t="s">
        <v>210</v>
      </c>
      <c r="B14" s="43">
        <v>45304</v>
      </c>
      <c r="C14" s="45">
        <v>15308</v>
      </c>
    </row>
    <row r="15" spans="1:7" ht="17.25" x14ac:dyDescent="0.25">
      <c r="A15" s="44" t="s">
        <v>211</v>
      </c>
      <c r="B15" s="43">
        <v>45305</v>
      </c>
      <c r="C15" s="45">
        <v>12462</v>
      </c>
    </row>
    <row r="16" spans="1:7" ht="17.25" x14ac:dyDescent="0.25">
      <c r="A16" s="42" t="s">
        <v>212</v>
      </c>
      <c r="B16" s="43">
        <v>45306</v>
      </c>
      <c r="C16" s="45">
        <v>19413</v>
      </c>
    </row>
    <row r="17" spans="1:3" ht="17.25" x14ac:dyDescent="0.25">
      <c r="A17" s="42" t="s">
        <v>213</v>
      </c>
      <c r="B17" s="43">
        <v>45307</v>
      </c>
      <c r="C17" s="45">
        <v>11515</v>
      </c>
    </row>
    <row r="18" spans="1:3" ht="17.25" x14ac:dyDescent="0.25">
      <c r="A18" s="44" t="s">
        <v>214</v>
      </c>
      <c r="B18" s="43">
        <v>45308</v>
      </c>
      <c r="C18" s="45">
        <v>15144</v>
      </c>
    </row>
    <row r="19" spans="1:3" ht="17.25" x14ac:dyDescent="0.25">
      <c r="A19" s="42" t="s">
        <v>215</v>
      </c>
      <c r="B19" s="43">
        <v>45309</v>
      </c>
      <c r="C19" s="45">
        <v>16758</v>
      </c>
    </row>
    <row r="20" spans="1:3" ht="17.25" x14ac:dyDescent="0.25">
      <c r="A20" s="44" t="s">
        <v>216</v>
      </c>
      <c r="B20" s="43">
        <v>45310</v>
      </c>
      <c r="C20" s="45">
        <v>17701</v>
      </c>
    </row>
    <row r="21" spans="1:3" ht="17.25" x14ac:dyDescent="0.25">
      <c r="A21" s="42" t="s">
        <v>217</v>
      </c>
      <c r="B21" s="43">
        <v>45311</v>
      </c>
      <c r="C21" s="45">
        <v>17183</v>
      </c>
    </row>
    <row r="22" spans="1:3" x14ac:dyDescent="0.25">
      <c r="A22" s="46"/>
      <c r="B22" s="46" t="s">
        <v>219</v>
      </c>
      <c r="C22" s="45">
        <f>SUM(C2:C21)</f>
        <v>313439</v>
      </c>
    </row>
    <row r="23" spans="1:3" x14ac:dyDescent="0.25">
      <c r="A23" s="46" t="s">
        <v>218</v>
      </c>
      <c r="B23" s="46"/>
      <c r="C23" s="47">
        <f>AVERAGE(C2:C20)</f>
        <v>15592.421052631578</v>
      </c>
    </row>
    <row r="24" spans="1:3" x14ac:dyDescent="0.25">
      <c r="A24" s="46" t="s">
        <v>220</v>
      </c>
      <c r="B24" s="46"/>
      <c r="C24" s="46">
        <f>MAX(C2:C21)</f>
        <v>32000</v>
      </c>
    </row>
    <row r="25" spans="1:3" x14ac:dyDescent="0.25">
      <c r="A25" s="46" t="s">
        <v>221</v>
      </c>
      <c r="B25" s="46"/>
      <c r="C25" s="46">
        <f>MIN(C2:D21)</f>
        <v>8000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BC4-CEAD-43CF-B7F0-BC5B190DB428}">
  <dimension ref="A1:I23"/>
  <sheetViews>
    <sheetView workbookViewId="0">
      <selection activeCell="A4" sqref="A4:A20"/>
    </sheetView>
  </sheetViews>
  <sheetFormatPr defaultRowHeight="15" x14ac:dyDescent="0.25"/>
  <cols>
    <col min="1" max="1" width="15.875" style="39" customWidth="1"/>
    <col min="2" max="2" width="14" style="39" customWidth="1"/>
    <col min="3" max="3" width="10.625" style="39" customWidth="1"/>
    <col min="4" max="4" width="9" style="39"/>
    <col min="5" max="5" width="7.25" style="39" customWidth="1"/>
    <col min="6" max="6" width="9" style="39"/>
    <col min="7" max="7" width="11.25" style="39" customWidth="1"/>
    <col min="8" max="8" width="9" style="39"/>
    <col min="9" max="9" width="29.375" style="39" customWidth="1"/>
    <col min="10" max="16384" width="9" style="39"/>
  </cols>
  <sheetData>
    <row r="1" spans="1:9" ht="31.5" x14ac:dyDescent="0.25">
      <c r="A1" s="59" t="s">
        <v>231</v>
      </c>
      <c r="B1" s="59" t="s">
        <v>117</v>
      </c>
      <c r="C1" s="59" t="s">
        <v>62</v>
      </c>
    </row>
    <row r="2" spans="1:9" ht="15.75" x14ac:dyDescent="0.25">
      <c r="A2" s="60" t="s">
        <v>228</v>
      </c>
      <c r="B2" s="60" t="s">
        <v>127</v>
      </c>
      <c r="C2" s="60">
        <v>42000</v>
      </c>
      <c r="I2" s="64" t="s">
        <v>239</v>
      </c>
    </row>
    <row r="3" spans="1:9" ht="17.25" x14ac:dyDescent="0.25">
      <c r="A3" s="60" t="s">
        <v>230</v>
      </c>
      <c r="B3" s="60" t="s">
        <v>127</v>
      </c>
      <c r="C3" s="60">
        <v>38000</v>
      </c>
      <c r="I3" s="65" t="s">
        <v>236</v>
      </c>
    </row>
    <row r="4" spans="1:9" ht="17.25" x14ac:dyDescent="0.25">
      <c r="A4" s="60" t="s">
        <v>193</v>
      </c>
      <c r="B4" s="60" t="s">
        <v>127</v>
      </c>
      <c r="C4" s="61">
        <v>32156</v>
      </c>
      <c r="I4" s="65" t="s">
        <v>237</v>
      </c>
    </row>
    <row r="5" spans="1:9" ht="17.25" x14ac:dyDescent="0.25">
      <c r="A5" s="61" t="s">
        <v>54</v>
      </c>
      <c r="B5" s="60" t="s">
        <v>127</v>
      </c>
      <c r="C5" s="61">
        <v>35497</v>
      </c>
      <c r="I5" s="65" t="s">
        <v>238</v>
      </c>
    </row>
    <row r="6" spans="1:9" ht="15.75" x14ac:dyDescent="0.25">
      <c r="A6" s="61" t="s">
        <v>58</v>
      </c>
      <c r="B6" s="60" t="s">
        <v>127</v>
      </c>
      <c r="C6" s="61">
        <v>9813</v>
      </c>
    </row>
    <row r="7" spans="1:9" ht="15.75" x14ac:dyDescent="0.25">
      <c r="A7" s="61" t="s">
        <v>60</v>
      </c>
      <c r="B7" s="60" t="s">
        <v>127</v>
      </c>
      <c r="C7" s="61">
        <v>45331</v>
      </c>
    </row>
    <row r="8" spans="1:9" ht="15.75" x14ac:dyDescent="0.25">
      <c r="A8" s="60" t="s">
        <v>225</v>
      </c>
      <c r="B8" s="60" t="s">
        <v>121</v>
      </c>
      <c r="C8" s="60">
        <v>28000</v>
      </c>
      <c r="F8" s="57" t="s">
        <v>233</v>
      </c>
      <c r="G8" s="57"/>
    </row>
    <row r="9" spans="1:9" ht="15.75" x14ac:dyDescent="0.25">
      <c r="A9" s="60" t="s">
        <v>229</v>
      </c>
      <c r="B9" s="60" t="s">
        <v>121</v>
      </c>
      <c r="C9" s="60">
        <v>30000</v>
      </c>
      <c r="F9" s="54" t="s">
        <v>121</v>
      </c>
      <c r="G9" s="55">
        <f>SUMIF(B2:B20,B8,C2:C20)</f>
        <v>187011</v>
      </c>
    </row>
    <row r="10" spans="1:9" ht="15.75" x14ac:dyDescent="0.25">
      <c r="A10" s="60" t="s">
        <v>190</v>
      </c>
      <c r="B10" s="60" t="s">
        <v>121</v>
      </c>
      <c r="C10" s="61">
        <v>23252</v>
      </c>
      <c r="F10" s="54" t="s">
        <v>127</v>
      </c>
      <c r="G10" s="54">
        <f>SUMIF(B2:B20,B7,C2:C20)</f>
        <v>202797</v>
      </c>
    </row>
    <row r="11" spans="1:9" ht="15.75" x14ac:dyDescent="0.25">
      <c r="A11" s="60" t="s">
        <v>194</v>
      </c>
      <c r="B11" s="60" t="s">
        <v>121</v>
      </c>
      <c r="C11" s="61">
        <v>38598</v>
      </c>
      <c r="F11" s="54" t="s">
        <v>124</v>
      </c>
      <c r="G11" s="54">
        <f>SUMIF(B2:B20,B15,C2:C20)</f>
        <v>201570</v>
      </c>
    </row>
    <row r="12" spans="1:9" ht="15.75" x14ac:dyDescent="0.25">
      <c r="A12" s="61" t="s">
        <v>55</v>
      </c>
      <c r="B12" s="60" t="s">
        <v>121</v>
      </c>
      <c r="C12" s="61">
        <v>29403</v>
      </c>
      <c r="F12" s="54" t="s">
        <v>219</v>
      </c>
      <c r="G12" s="56">
        <f>SUM(G9:G11)</f>
        <v>591378</v>
      </c>
    </row>
    <row r="13" spans="1:9" ht="15.75" x14ac:dyDescent="0.25">
      <c r="A13" s="61" t="s">
        <v>59</v>
      </c>
      <c r="B13" s="60" t="s">
        <v>121</v>
      </c>
      <c r="C13" s="61">
        <v>22332</v>
      </c>
    </row>
    <row r="14" spans="1:9" ht="15.75" x14ac:dyDescent="0.25">
      <c r="A14" s="61" t="s">
        <v>232</v>
      </c>
      <c r="B14" s="60" t="s">
        <v>121</v>
      </c>
      <c r="C14" s="61">
        <v>15426</v>
      </c>
    </row>
    <row r="15" spans="1:9" ht="15.75" x14ac:dyDescent="0.25">
      <c r="A15" s="60" t="s">
        <v>226</v>
      </c>
      <c r="B15" s="60" t="s">
        <v>124</v>
      </c>
      <c r="C15" s="60">
        <v>45000</v>
      </c>
    </row>
    <row r="16" spans="1:9" ht="15.75" x14ac:dyDescent="0.25">
      <c r="A16" s="60" t="s">
        <v>227</v>
      </c>
      <c r="B16" s="60" t="s">
        <v>124</v>
      </c>
      <c r="C16" s="60">
        <v>50000</v>
      </c>
    </row>
    <row r="17" spans="1:3" ht="15.75" x14ac:dyDescent="0.25">
      <c r="A17" s="60" t="s">
        <v>191</v>
      </c>
      <c r="B17" s="60" t="s">
        <v>124</v>
      </c>
      <c r="C17" s="61">
        <v>11931</v>
      </c>
    </row>
    <row r="18" spans="1:3" ht="15.75" x14ac:dyDescent="0.25">
      <c r="A18" s="60" t="s">
        <v>192</v>
      </c>
      <c r="B18" s="60" t="s">
        <v>124</v>
      </c>
      <c r="C18" s="61">
        <v>31449</v>
      </c>
    </row>
    <row r="19" spans="1:3" ht="15.75" x14ac:dyDescent="0.25">
      <c r="A19" s="61" t="s">
        <v>56</v>
      </c>
      <c r="B19" s="60" t="s">
        <v>124</v>
      </c>
      <c r="C19" s="61">
        <v>43744</v>
      </c>
    </row>
    <row r="20" spans="1:3" ht="15.75" x14ac:dyDescent="0.25">
      <c r="A20" s="61" t="s">
        <v>57</v>
      </c>
      <c r="B20" s="60" t="s">
        <v>124</v>
      </c>
      <c r="C20" s="61">
        <v>19446</v>
      </c>
    </row>
    <row r="21" spans="1:3" x14ac:dyDescent="0.25">
      <c r="A21" s="62" t="s">
        <v>219</v>
      </c>
      <c r="B21" s="62"/>
      <c r="C21" s="63">
        <f>SUM(C2:C20)</f>
        <v>591378</v>
      </c>
    </row>
    <row r="22" spans="1:3" x14ac:dyDescent="0.25">
      <c r="A22" s="62" t="s">
        <v>234</v>
      </c>
      <c r="B22" s="62"/>
      <c r="C22" s="63">
        <f>AVERAGE(C2:C20)</f>
        <v>31125.157894736843</v>
      </c>
    </row>
    <row r="23" spans="1:3" x14ac:dyDescent="0.25">
      <c r="A23" s="62" t="s">
        <v>235</v>
      </c>
      <c r="B23" s="62"/>
      <c r="C23" s="63">
        <f>COUNT(A2:C20)</f>
        <v>19</v>
      </c>
    </row>
  </sheetData>
  <sortState xmlns:xlrd2="http://schemas.microsoft.com/office/spreadsheetml/2017/richdata2" ref="A2:C20">
    <sortCondition ref="B3:B20"/>
  </sortState>
  <mergeCells count="4">
    <mergeCell ref="F8:G8"/>
    <mergeCell ref="A21:B21"/>
    <mergeCell ref="A22:B22"/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2FDC-E748-448F-9F3D-BA74AEB66E96}">
  <dimension ref="A1:K22"/>
  <sheetViews>
    <sheetView workbookViewId="0">
      <selection activeCell="N26" sqref="N26"/>
    </sheetView>
  </sheetViews>
  <sheetFormatPr defaultRowHeight="15" x14ac:dyDescent="0.25"/>
  <cols>
    <col min="1" max="1" width="16.75" customWidth="1"/>
    <col min="2" max="2" width="9.125" customWidth="1"/>
    <col min="7" max="7" width="12" customWidth="1"/>
    <col min="11" max="11" width="25.75" customWidth="1"/>
  </cols>
  <sheetData>
    <row r="1" spans="1:11" ht="15.75" x14ac:dyDescent="0.25">
      <c r="A1" s="83" t="s">
        <v>188</v>
      </c>
      <c r="B1" s="83" t="s">
        <v>240</v>
      </c>
      <c r="C1" s="83" t="s">
        <v>241</v>
      </c>
      <c r="D1" s="83" t="s">
        <v>242</v>
      </c>
      <c r="E1" s="83" t="s">
        <v>243</v>
      </c>
      <c r="F1" s="83" t="s">
        <v>244</v>
      </c>
      <c r="G1" s="83" t="s">
        <v>247</v>
      </c>
      <c r="H1" s="83" t="s">
        <v>248</v>
      </c>
    </row>
    <row r="2" spans="1:11" ht="15.75" x14ac:dyDescent="0.25">
      <c r="A2" s="51" t="s">
        <v>190</v>
      </c>
      <c r="B2" s="51" t="s">
        <v>245</v>
      </c>
      <c r="C2" s="51" t="s">
        <v>246</v>
      </c>
      <c r="D2" s="51" t="s">
        <v>245</v>
      </c>
      <c r="E2" s="51" t="s">
        <v>245</v>
      </c>
      <c r="F2" s="51" t="s">
        <v>245</v>
      </c>
      <c r="G2" s="84">
        <f>COUNTIF(B2:F2,B2)</f>
        <v>4</v>
      </c>
      <c r="H2" s="84">
        <f>COUNTIF(B2:F2,C2)</f>
        <v>1</v>
      </c>
    </row>
    <row r="3" spans="1:11" ht="15.75" x14ac:dyDescent="0.25">
      <c r="A3" s="50" t="s">
        <v>191</v>
      </c>
      <c r="B3" s="50" t="s">
        <v>245</v>
      </c>
      <c r="C3" s="50" t="s">
        <v>245</v>
      </c>
      <c r="D3" s="50" t="s">
        <v>245</v>
      </c>
      <c r="E3" s="50" t="s">
        <v>246</v>
      </c>
      <c r="F3" s="50" t="s">
        <v>245</v>
      </c>
      <c r="G3" s="84">
        <f t="shared" ref="G3:G22" si="0">COUNTIF(B3:F3,B3)</f>
        <v>4</v>
      </c>
      <c r="H3" s="84">
        <f t="shared" ref="H3:H22" si="1">COUNTIF(B3:F3,C3)</f>
        <v>4</v>
      </c>
      <c r="K3" s="85" t="s">
        <v>239</v>
      </c>
    </row>
    <row r="4" spans="1:11" ht="17.25" x14ac:dyDescent="0.25">
      <c r="A4" s="51" t="s">
        <v>192</v>
      </c>
      <c r="B4" s="51" t="s">
        <v>246</v>
      </c>
      <c r="C4" s="51" t="s">
        <v>245</v>
      </c>
      <c r="D4" s="51" t="s">
        <v>245</v>
      </c>
      <c r="E4" s="51" t="s">
        <v>245</v>
      </c>
      <c r="F4" s="51" t="s">
        <v>245</v>
      </c>
      <c r="G4" s="84">
        <f t="shared" si="0"/>
        <v>1</v>
      </c>
      <c r="H4" s="84">
        <f t="shared" si="1"/>
        <v>4</v>
      </c>
      <c r="K4" s="86" t="s">
        <v>285</v>
      </c>
    </row>
    <row r="5" spans="1:11" ht="17.25" x14ac:dyDescent="0.25">
      <c r="A5" s="50" t="s">
        <v>193</v>
      </c>
      <c r="B5" s="50" t="s">
        <v>245</v>
      </c>
      <c r="C5" s="50" t="s">
        <v>246</v>
      </c>
      <c r="D5" s="50" t="s">
        <v>246</v>
      </c>
      <c r="E5" s="50" t="s">
        <v>245</v>
      </c>
      <c r="F5" s="50" t="s">
        <v>246</v>
      </c>
      <c r="G5" s="84">
        <f t="shared" si="0"/>
        <v>2</v>
      </c>
      <c r="H5" s="84">
        <f t="shared" si="1"/>
        <v>3</v>
      </c>
      <c r="K5" s="86" t="s">
        <v>286</v>
      </c>
    </row>
    <row r="6" spans="1:11" ht="15.75" x14ac:dyDescent="0.25">
      <c r="A6" s="53" t="s">
        <v>193</v>
      </c>
      <c r="B6" s="45" t="s">
        <v>246</v>
      </c>
      <c r="C6" s="45" t="s">
        <v>246</v>
      </c>
      <c r="D6" s="45" t="s">
        <v>245</v>
      </c>
      <c r="E6" s="45" t="s">
        <v>246</v>
      </c>
      <c r="F6" s="45" t="s">
        <v>246</v>
      </c>
      <c r="G6" s="84">
        <f t="shared" si="0"/>
        <v>4</v>
      </c>
      <c r="H6" s="84">
        <f t="shared" si="1"/>
        <v>4</v>
      </c>
    </row>
    <row r="7" spans="1:11" x14ac:dyDescent="0.25">
      <c r="A7" s="52" t="s">
        <v>54</v>
      </c>
      <c r="B7" s="45" t="s">
        <v>246</v>
      </c>
      <c r="C7" s="45" t="s">
        <v>245</v>
      </c>
      <c r="D7" s="45" t="s">
        <v>245</v>
      </c>
      <c r="E7" s="45" t="s">
        <v>246</v>
      </c>
      <c r="F7" s="45" t="s">
        <v>246</v>
      </c>
      <c r="G7" s="84">
        <f t="shared" si="0"/>
        <v>3</v>
      </c>
      <c r="H7" s="84">
        <f t="shared" si="1"/>
        <v>2</v>
      </c>
    </row>
    <row r="8" spans="1:11" x14ac:dyDescent="0.25">
      <c r="A8" s="52" t="s">
        <v>58</v>
      </c>
      <c r="B8" s="45" t="s">
        <v>246</v>
      </c>
      <c r="C8" s="45" t="s">
        <v>245</v>
      </c>
      <c r="D8" s="45" t="s">
        <v>246</v>
      </c>
      <c r="E8" s="45" t="s">
        <v>246</v>
      </c>
      <c r="F8" s="45" t="s">
        <v>245</v>
      </c>
      <c r="G8" s="84">
        <f t="shared" si="0"/>
        <v>3</v>
      </c>
      <c r="H8" s="84">
        <f t="shared" si="1"/>
        <v>2</v>
      </c>
    </row>
    <row r="9" spans="1:11" x14ac:dyDescent="0.25">
      <c r="A9" s="52" t="s">
        <v>60</v>
      </c>
      <c r="B9" s="45" t="s">
        <v>245</v>
      </c>
      <c r="C9" s="45" t="s">
        <v>245</v>
      </c>
      <c r="D9" s="45" t="s">
        <v>245</v>
      </c>
      <c r="E9" s="45" t="s">
        <v>245</v>
      </c>
      <c r="F9" s="45" t="s">
        <v>245</v>
      </c>
      <c r="G9" s="84">
        <f t="shared" si="0"/>
        <v>5</v>
      </c>
      <c r="H9" s="84">
        <f t="shared" si="1"/>
        <v>5</v>
      </c>
    </row>
    <row r="10" spans="1:11" ht="15.75" x14ac:dyDescent="0.25">
      <c r="A10" s="53" t="s">
        <v>225</v>
      </c>
      <c r="B10" s="45" t="s">
        <v>245</v>
      </c>
      <c r="C10" s="45" t="s">
        <v>246</v>
      </c>
      <c r="D10" s="45" t="s">
        <v>246</v>
      </c>
      <c r="E10" s="45" t="s">
        <v>246</v>
      </c>
      <c r="F10" s="45" t="s">
        <v>246</v>
      </c>
      <c r="G10" s="84">
        <f t="shared" si="0"/>
        <v>1</v>
      </c>
      <c r="H10" s="84">
        <f t="shared" si="1"/>
        <v>4</v>
      </c>
    </row>
    <row r="11" spans="1:11" ht="15.75" x14ac:dyDescent="0.25">
      <c r="A11" s="53" t="s">
        <v>229</v>
      </c>
      <c r="B11" s="45" t="s">
        <v>245</v>
      </c>
      <c r="C11" s="45" t="s">
        <v>246</v>
      </c>
      <c r="D11" s="45" t="s">
        <v>245</v>
      </c>
      <c r="E11" s="45" t="s">
        <v>245</v>
      </c>
      <c r="F11" s="45" t="s">
        <v>245</v>
      </c>
      <c r="G11" s="84">
        <f t="shared" si="0"/>
        <v>4</v>
      </c>
      <c r="H11" s="84">
        <f t="shared" si="1"/>
        <v>1</v>
      </c>
    </row>
    <row r="12" spans="1:11" ht="15.75" x14ac:dyDescent="0.25">
      <c r="A12" s="53" t="s">
        <v>190</v>
      </c>
      <c r="B12" s="45" t="s">
        <v>246</v>
      </c>
      <c r="C12" s="45" t="s">
        <v>246</v>
      </c>
      <c r="D12" s="45" t="s">
        <v>245</v>
      </c>
      <c r="E12" s="45" t="s">
        <v>245</v>
      </c>
      <c r="F12" s="45" t="s">
        <v>246</v>
      </c>
      <c r="G12" s="84">
        <f t="shared" si="0"/>
        <v>3</v>
      </c>
      <c r="H12" s="84">
        <f t="shared" si="1"/>
        <v>3</v>
      </c>
    </row>
    <row r="13" spans="1:11" ht="15.75" x14ac:dyDescent="0.25">
      <c r="A13" s="53" t="s">
        <v>194</v>
      </c>
      <c r="B13" s="45" t="s">
        <v>246</v>
      </c>
      <c r="C13" s="45" t="s">
        <v>245</v>
      </c>
      <c r="D13" s="45" t="s">
        <v>245</v>
      </c>
      <c r="E13" s="45" t="s">
        <v>246</v>
      </c>
      <c r="F13" s="45" t="s">
        <v>245</v>
      </c>
      <c r="G13" s="84">
        <f t="shared" si="0"/>
        <v>2</v>
      </c>
      <c r="H13" s="84">
        <f t="shared" si="1"/>
        <v>3</v>
      </c>
    </row>
    <row r="14" spans="1:11" x14ac:dyDescent="0.25">
      <c r="A14" s="52" t="s">
        <v>55</v>
      </c>
      <c r="B14" s="45" t="s">
        <v>246</v>
      </c>
      <c r="C14" s="45" t="s">
        <v>246</v>
      </c>
      <c r="D14" s="45" t="s">
        <v>245</v>
      </c>
      <c r="E14" s="45" t="s">
        <v>246</v>
      </c>
      <c r="F14" s="45" t="s">
        <v>246</v>
      </c>
      <c r="G14" s="84">
        <f t="shared" si="0"/>
        <v>4</v>
      </c>
      <c r="H14" s="84">
        <f t="shared" si="1"/>
        <v>4</v>
      </c>
    </row>
    <row r="15" spans="1:11" x14ac:dyDescent="0.25">
      <c r="A15" s="52" t="s">
        <v>59</v>
      </c>
      <c r="B15" s="45" t="s">
        <v>245</v>
      </c>
      <c r="C15" s="45" t="s">
        <v>245</v>
      </c>
      <c r="D15" s="45" t="s">
        <v>245</v>
      </c>
      <c r="E15" s="45" t="s">
        <v>246</v>
      </c>
      <c r="F15" s="45" t="s">
        <v>245</v>
      </c>
      <c r="G15" s="84">
        <f t="shared" si="0"/>
        <v>4</v>
      </c>
      <c r="H15" s="84">
        <f t="shared" si="1"/>
        <v>4</v>
      </c>
    </row>
    <row r="16" spans="1:11" x14ac:dyDescent="0.25">
      <c r="A16" s="52" t="s">
        <v>232</v>
      </c>
      <c r="B16" s="45" t="s">
        <v>246</v>
      </c>
      <c r="C16" s="45" t="s">
        <v>245</v>
      </c>
      <c r="D16" s="45" t="s">
        <v>246</v>
      </c>
      <c r="E16" s="45" t="s">
        <v>245</v>
      </c>
      <c r="F16" s="45" t="s">
        <v>246</v>
      </c>
      <c r="G16" s="84">
        <f t="shared" si="0"/>
        <v>3</v>
      </c>
      <c r="H16" s="84">
        <f t="shared" si="1"/>
        <v>2</v>
      </c>
    </row>
    <row r="17" spans="1:8" ht="15.75" x14ac:dyDescent="0.25">
      <c r="A17" s="53" t="s">
        <v>226</v>
      </c>
      <c r="B17" s="45" t="s">
        <v>246</v>
      </c>
      <c r="C17" s="45" t="s">
        <v>246</v>
      </c>
      <c r="D17" s="45" t="s">
        <v>246</v>
      </c>
      <c r="E17" s="45" t="s">
        <v>245</v>
      </c>
      <c r="F17" s="45" t="s">
        <v>246</v>
      </c>
      <c r="G17" s="84">
        <f t="shared" si="0"/>
        <v>4</v>
      </c>
      <c r="H17" s="84">
        <f t="shared" si="1"/>
        <v>4</v>
      </c>
    </row>
    <row r="18" spans="1:8" ht="15.75" x14ac:dyDescent="0.25">
      <c r="A18" s="53" t="s">
        <v>227</v>
      </c>
      <c r="B18" s="45" t="s">
        <v>245</v>
      </c>
      <c r="C18" s="45" t="s">
        <v>245</v>
      </c>
      <c r="D18" s="45" t="s">
        <v>245</v>
      </c>
      <c r="E18" s="45" t="s">
        <v>246</v>
      </c>
      <c r="F18" s="45" t="s">
        <v>245</v>
      </c>
      <c r="G18" s="84">
        <f t="shared" si="0"/>
        <v>4</v>
      </c>
      <c r="H18" s="84">
        <f t="shared" si="1"/>
        <v>4</v>
      </c>
    </row>
    <row r="19" spans="1:8" ht="15.75" x14ac:dyDescent="0.25">
      <c r="A19" s="53" t="s">
        <v>191</v>
      </c>
      <c r="B19" s="45" t="s">
        <v>246</v>
      </c>
      <c r="C19" s="45" t="s">
        <v>245</v>
      </c>
      <c r="D19" s="45" t="s">
        <v>245</v>
      </c>
      <c r="E19" s="45" t="s">
        <v>245</v>
      </c>
      <c r="F19" s="45" t="s">
        <v>246</v>
      </c>
      <c r="G19" s="84">
        <f t="shared" si="0"/>
        <v>2</v>
      </c>
      <c r="H19" s="84">
        <f t="shared" si="1"/>
        <v>3</v>
      </c>
    </row>
    <row r="20" spans="1:8" ht="15.75" x14ac:dyDescent="0.25">
      <c r="A20" s="53" t="s">
        <v>192</v>
      </c>
      <c r="B20" s="45" t="s">
        <v>245</v>
      </c>
      <c r="C20" s="45" t="s">
        <v>246</v>
      </c>
      <c r="D20" s="45" t="s">
        <v>245</v>
      </c>
      <c r="E20" s="45" t="s">
        <v>246</v>
      </c>
      <c r="F20" s="45" t="s">
        <v>245</v>
      </c>
      <c r="G20" s="84">
        <f t="shared" si="0"/>
        <v>3</v>
      </c>
      <c r="H20" s="84">
        <f t="shared" si="1"/>
        <v>2</v>
      </c>
    </row>
    <row r="21" spans="1:8" x14ac:dyDescent="0.25">
      <c r="A21" s="52" t="s">
        <v>56</v>
      </c>
      <c r="B21" s="45" t="s">
        <v>245</v>
      </c>
      <c r="C21" s="45" t="s">
        <v>245</v>
      </c>
      <c r="D21" s="45" t="s">
        <v>246</v>
      </c>
      <c r="E21" s="45" t="s">
        <v>245</v>
      </c>
      <c r="F21" s="45" t="s">
        <v>245</v>
      </c>
      <c r="G21" s="84">
        <f t="shared" si="0"/>
        <v>4</v>
      </c>
      <c r="H21" s="84">
        <f t="shared" si="1"/>
        <v>4</v>
      </c>
    </row>
    <row r="22" spans="1:8" x14ac:dyDescent="0.25">
      <c r="A22" s="52" t="s">
        <v>57</v>
      </c>
      <c r="B22" s="45" t="s">
        <v>246</v>
      </c>
      <c r="C22" s="45" t="s">
        <v>246</v>
      </c>
      <c r="D22" s="45" t="s">
        <v>246</v>
      </c>
      <c r="E22" s="45" t="s">
        <v>246</v>
      </c>
      <c r="F22" s="45" t="s">
        <v>246</v>
      </c>
      <c r="G22" s="84">
        <f t="shared" si="0"/>
        <v>5</v>
      </c>
      <c r="H22" s="84">
        <f t="shared" si="1"/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AD4A-A9CC-4FAD-B6EF-B0CF4C32E62F}">
  <dimension ref="A1:F23"/>
  <sheetViews>
    <sheetView workbookViewId="0">
      <selection activeCell="F7" sqref="F7"/>
    </sheetView>
  </sheetViews>
  <sheetFormatPr defaultRowHeight="15" x14ac:dyDescent="0.25"/>
  <cols>
    <col min="1" max="1" width="15" style="49" customWidth="1"/>
    <col min="2" max="5" width="9" style="49"/>
    <col min="6" max="6" width="25.375" style="49" customWidth="1"/>
    <col min="7" max="16384" width="9" style="49"/>
  </cols>
  <sheetData>
    <row r="1" spans="1:6" ht="15.75" x14ac:dyDescent="0.25">
      <c r="A1" s="58" t="s">
        <v>249</v>
      </c>
      <c r="B1" s="58" t="s">
        <v>168</v>
      </c>
      <c r="C1" s="89"/>
      <c r="F1" s="88" t="s">
        <v>239</v>
      </c>
    </row>
    <row r="2" spans="1:6" ht="17.25" x14ac:dyDescent="0.25">
      <c r="A2" s="66" t="s">
        <v>250</v>
      </c>
      <c r="B2" s="66">
        <v>4500</v>
      </c>
      <c r="C2" s="41"/>
      <c r="F2" s="30" t="s">
        <v>287</v>
      </c>
    </row>
    <row r="3" spans="1:6" ht="17.25" x14ac:dyDescent="0.25">
      <c r="A3" s="67" t="s">
        <v>251</v>
      </c>
      <c r="B3" s="67">
        <v>12000</v>
      </c>
      <c r="C3" s="41"/>
      <c r="F3" s="30" t="s">
        <v>288</v>
      </c>
    </row>
    <row r="4" spans="1:6" ht="15.75" x14ac:dyDescent="0.25">
      <c r="A4" s="66" t="s">
        <v>252</v>
      </c>
      <c r="B4" s="66">
        <v>8000</v>
      </c>
      <c r="C4" s="41"/>
    </row>
    <row r="5" spans="1:6" ht="15.75" x14ac:dyDescent="0.25">
      <c r="A5" s="67" t="s">
        <v>253</v>
      </c>
      <c r="B5" s="67">
        <v>25000</v>
      </c>
      <c r="C5" s="41"/>
    </row>
    <row r="6" spans="1:6" ht="15.75" x14ac:dyDescent="0.25">
      <c r="A6" s="66" t="s">
        <v>254</v>
      </c>
      <c r="B6" s="66">
        <v>3000</v>
      </c>
      <c r="C6" s="41"/>
    </row>
    <row r="7" spans="1:6" ht="15.75" x14ac:dyDescent="0.25">
      <c r="A7" s="67" t="s">
        <v>255</v>
      </c>
      <c r="B7" s="67">
        <v>15000</v>
      </c>
      <c r="C7" s="41"/>
    </row>
    <row r="8" spans="1:6" ht="15.75" x14ac:dyDescent="0.25">
      <c r="A8" s="66" t="s">
        <v>256</v>
      </c>
      <c r="B8" s="41">
        <v>14586</v>
      </c>
      <c r="C8" s="41"/>
    </row>
    <row r="9" spans="1:6" ht="15.75" x14ac:dyDescent="0.25">
      <c r="A9" s="67" t="s">
        <v>257</v>
      </c>
      <c r="B9" s="41">
        <v>18216</v>
      </c>
      <c r="C9" s="41"/>
    </row>
    <row r="10" spans="1:6" ht="15.75" x14ac:dyDescent="0.25">
      <c r="A10" s="66" t="s">
        <v>258</v>
      </c>
      <c r="B10" s="41">
        <v>13899</v>
      </c>
      <c r="C10" s="41"/>
    </row>
    <row r="11" spans="1:6" ht="15.75" x14ac:dyDescent="0.25">
      <c r="A11" s="67" t="s">
        <v>259</v>
      </c>
      <c r="B11" s="41">
        <v>17789</v>
      </c>
      <c r="C11" s="41"/>
    </row>
    <row r="12" spans="1:6" ht="15.75" x14ac:dyDescent="0.25">
      <c r="A12" s="66" t="s">
        <v>260</v>
      </c>
      <c r="B12" s="41">
        <v>9974</v>
      </c>
      <c r="C12" s="41"/>
    </row>
    <row r="13" spans="1:6" ht="15.75" x14ac:dyDescent="0.25">
      <c r="A13" s="67" t="s">
        <v>261</v>
      </c>
      <c r="B13" s="41">
        <v>9711</v>
      </c>
      <c r="C13" s="41"/>
    </row>
    <row r="14" spans="1:6" ht="15.75" x14ac:dyDescent="0.25">
      <c r="A14" s="66" t="s">
        <v>262</v>
      </c>
      <c r="B14" s="41">
        <v>8628</v>
      </c>
      <c r="C14" s="41"/>
    </row>
    <row r="15" spans="1:6" ht="15.75" x14ac:dyDescent="0.25">
      <c r="A15" s="67" t="s">
        <v>263</v>
      </c>
      <c r="B15" s="41">
        <v>9499</v>
      </c>
      <c r="C15" s="41"/>
    </row>
    <row r="16" spans="1:6" ht="15.75" x14ac:dyDescent="0.25">
      <c r="A16" s="66" t="s">
        <v>264</v>
      </c>
      <c r="B16" s="41">
        <v>7295</v>
      </c>
      <c r="C16" s="41"/>
    </row>
    <row r="17" spans="1:3" ht="15.75" x14ac:dyDescent="0.25">
      <c r="A17" s="67" t="s">
        <v>265</v>
      </c>
      <c r="B17" s="41">
        <v>9559</v>
      </c>
      <c r="C17" s="41"/>
    </row>
    <row r="18" spans="1:3" ht="15.75" x14ac:dyDescent="0.25">
      <c r="A18" s="66" t="s">
        <v>266</v>
      </c>
      <c r="B18" s="41">
        <v>19587</v>
      </c>
      <c r="C18" s="41"/>
    </row>
    <row r="19" spans="1:3" ht="15.75" x14ac:dyDescent="0.25">
      <c r="A19" s="67" t="s">
        <v>267</v>
      </c>
      <c r="B19" s="41">
        <v>9705</v>
      </c>
      <c r="C19" s="41"/>
    </row>
    <row r="20" spans="1:3" ht="15.75" x14ac:dyDescent="0.25">
      <c r="A20" s="66" t="s">
        <v>268</v>
      </c>
      <c r="B20" s="41">
        <v>6716</v>
      </c>
      <c r="C20" s="41"/>
    </row>
    <row r="21" spans="1:3" ht="15.75" x14ac:dyDescent="0.25">
      <c r="A21" s="67" t="s">
        <v>269</v>
      </c>
      <c r="B21" s="41">
        <v>16409</v>
      </c>
      <c r="C21" s="41"/>
    </row>
    <row r="22" spans="1:3" ht="30" x14ac:dyDescent="0.25">
      <c r="A22" s="41" t="s">
        <v>270</v>
      </c>
      <c r="B22" s="41">
        <f>COUNTIF(B2:B21,"&gt;10000")</f>
        <v>9</v>
      </c>
      <c r="C22" s="41"/>
    </row>
    <row r="23" spans="1:3" x14ac:dyDescent="0.25">
      <c r="A23" s="41" t="s">
        <v>271</v>
      </c>
      <c r="B23" s="41">
        <f>COUNTIF(B2:B21,"&gt;5000")</f>
        <v>18</v>
      </c>
      <c r="C23" s="41"/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075E-55CA-48AA-A21F-6E793BD099E0}">
  <dimension ref="A1:D20"/>
  <sheetViews>
    <sheetView workbookViewId="0">
      <selection activeCell="D9" sqref="D9"/>
    </sheetView>
  </sheetViews>
  <sheetFormatPr defaultRowHeight="15" x14ac:dyDescent="0.25"/>
  <cols>
    <col min="1" max="1" width="16.125" style="49" customWidth="1"/>
    <col min="2" max="2" width="10.875" style="49" customWidth="1"/>
    <col min="3" max="3" width="9" style="49"/>
    <col min="4" max="4" width="31.75" style="49" customWidth="1"/>
    <col min="5" max="16384" width="9" style="49"/>
  </cols>
  <sheetData>
    <row r="1" spans="1:4" ht="16.5" thickBot="1" x14ac:dyDescent="0.3">
      <c r="A1" s="79" t="s">
        <v>276</v>
      </c>
      <c r="B1" s="79" t="s">
        <v>168</v>
      </c>
      <c r="D1" s="87" t="s">
        <v>289</v>
      </c>
    </row>
    <row r="2" spans="1:4" ht="18" thickBot="1" x14ac:dyDescent="0.3">
      <c r="A2" s="68" t="s">
        <v>24</v>
      </c>
      <c r="B2" s="68">
        <v>22000</v>
      </c>
      <c r="D2" s="30" t="s">
        <v>290</v>
      </c>
    </row>
    <row r="3" spans="1:4" ht="18" thickBot="1" x14ac:dyDescent="0.3">
      <c r="A3" s="69" t="s">
        <v>272</v>
      </c>
      <c r="B3" s="69">
        <v>3500</v>
      </c>
      <c r="D3" s="30" t="s">
        <v>291</v>
      </c>
    </row>
    <row r="4" spans="1:4" ht="16.5" thickBot="1" x14ac:dyDescent="0.3">
      <c r="A4" s="68" t="s">
        <v>273</v>
      </c>
      <c r="B4" s="68">
        <v>58000</v>
      </c>
    </row>
    <row r="5" spans="1:4" ht="16.5" thickBot="1" x14ac:dyDescent="0.3">
      <c r="A5" s="69" t="s">
        <v>274</v>
      </c>
      <c r="B5" s="69">
        <v>1800</v>
      </c>
    </row>
    <row r="6" spans="1:4" ht="16.5" thickBot="1" x14ac:dyDescent="0.3">
      <c r="A6" s="68" t="s">
        <v>275</v>
      </c>
      <c r="B6" s="68">
        <v>12000</v>
      </c>
    </row>
    <row r="7" spans="1:4" ht="16.5" thickBot="1" x14ac:dyDescent="0.3">
      <c r="A7" s="68" t="s">
        <v>24</v>
      </c>
      <c r="B7" s="40">
        <v>23177</v>
      </c>
    </row>
    <row r="8" spans="1:4" ht="16.5" thickBot="1" x14ac:dyDescent="0.3">
      <c r="A8" s="69" t="s">
        <v>272</v>
      </c>
      <c r="B8" s="40">
        <v>24997</v>
      </c>
    </row>
    <row r="9" spans="1:4" ht="16.5" thickBot="1" x14ac:dyDescent="0.3">
      <c r="A9" s="68" t="s">
        <v>273</v>
      </c>
      <c r="B9" s="40">
        <v>21422</v>
      </c>
    </row>
    <row r="10" spans="1:4" ht="16.5" thickBot="1" x14ac:dyDescent="0.3">
      <c r="A10" s="69" t="s">
        <v>274</v>
      </c>
      <c r="B10" s="40">
        <v>38726</v>
      </c>
    </row>
    <row r="11" spans="1:4" ht="16.5" thickBot="1" x14ac:dyDescent="0.3">
      <c r="A11" s="68" t="s">
        <v>275</v>
      </c>
      <c r="B11" s="40">
        <v>30143</v>
      </c>
    </row>
    <row r="12" spans="1:4" ht="16.5" thickBot="1" x14ac:dyDescent="0.3">
      <c r="A12" s="68" t="s">
        <v>24</v>
      </c>
      <c r="B12" s="40">
        <v>40777</v>
      </c>
    </row>
    <row r="13" spans="1:4" ht="16.5" thickBot="1" x14ac:dyDescent="0.3">
      <c r="A13" s="69" t="s">
        <v>272</v>
      </c>
      <c r="B13" s="40">
        <v>13746</v>
      </c>
    </row>
    <row r="14" spans="1:4" ht="16.5" thickBot="1" x14ac:dyDescent="0.3">
      <c r="A14" s="68" t="s">
        <v>273</v>
      </c>
      <c r="B14" s="40">
        <v>25495</v>
      </c>
    </row>
    <row r="15" spans="1:4" ht="16.5" thickBot="1" x14ac:dyDescent="0.3">
      <c r="A15" s="69" t="s">
        <v>274</v>
      </c>
      <c r="B15" s="40">
        <v>49237</v>
      </c>
    </row>
    <row r="16" spans="1:4" ht="16.5" thickBot="1" x14ac:dyDescent="0.3">
      <c r="A16" s="68" t="s">
        <v>275</v>
      </c>
      <c r="B16" s="40">
        <v>21574</v>
      </c>
    </row>
    <row r="17" spans="1:2" ht="16.5" thickBot="1" x14ac:dyDescent="0.3">
      <c r="A17" s="68" t="s">
        <v>24</v>
      </c>
      <c r="B17" s="40">
        <v>15765</v>
      </c>
    </row>
    <row r="18" spans="1:2" ht="16.5" thickBot="1" x14ac:dyDescent="0.3">
      <c r="A18" s="69" t="s">
        <v>272</v>
      </c>
      <c r="B18" s="40">
        <v>31757</v>
      </c>
    </row>
    <row r="19" spans="1:2" ht="16.5" thickBot="1" x14ac:dyDescent="0.3">
      <c r="A19" s="68" t="s">
        <v>273</v>
      </c>
      <c r="B19" s="40">
        <v>47657</v>
      </c>
    </row>
    <row r="20" spans="1:2" ht="16.5" thickBot="1" x14ac:dyDescent="0.3">
      <c r="A20" s="69" t="s">
        <v>274</v>
      </c>
      <c r="B20" s="40">
        <v>26109</v>
      </c>
    </row>
  </sheetData>
  <autoFilter ref="B2:B20" xr:uid="{B384075E-55CA-48AA-A21F-6E793BD099E0}"/>
  <conditionalFormatting sqref="B2:B20">
    <cfRule type="cellIs" dxfId="14" priority="1" operator="lessThan">
      <formula>5000</formula>
    </cfRule>
    <cfRule type="cellIs" dxfId="13" priority="2" operator="greaterThan">
      <formula>20000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3FEA-D3C3-4960-A12C-594D84D167ED}">
  <dimension ref="A1:E24"/>
  <sheetViews>
    <sheetView workbookViewId="0">
      <selection activeCell="E6" sqref="E6"/>
    </sheetView>
  </sheetViews>
  <sheetFormatPr defaultRowHeight="15" x14ac:dyDescent="0.25"/>
  <cols>
    <col min="5" max="5" width="31.375" customWidth="1"/>
  </cols>
  <sheetData>
    <row r="1" spans="1:5" ht="15.75" x14ac:dyDescent="0.25">
      <c r="A1" s="78" t="s">
        <v>195</v>
      </c>
      <c r="B1" s="78" t="s">
        <v>50</v>
      </c>
      <c r="C1" s="78" t="s">
        <v>8</v>
      </c>
      <c r="E1" s="90" t="s">
        <v>289</v>
      </c>
    </row>
    <row r="2" spans="1:5" ht="17.25" x14ac:dyDescent="0.25">
      <c r="A2" s="71">
        <v>1</v>
      </c>
      <c r="B2" s="71" t="s">
        <v>229</v>
      </c>
      <c r="C2" s="71">
        <v>85</v>
      </c>
      <c r="E2" s="30" t="s">
        <v>292</v>
      </c>
    </row>
    <row r="3" spans="1:5" ht="17.25" x14ac:dyDescent="0.25">
      <c r="A3" s="72">
        <v>2</v>
      </c>
      <c r="B3" s="72" t="s">
        <v>277</v>
      </c>
      <c r="C3" s="72">
        <v>72</v>
      </c>
      <c r="E3" s="30" t="s">
        <v>293</v>
      </c>
    </row>
    <row r="4" spans="1:5" ht="15.75" x14ac:dyDescent="0.25">
      <c r="A4" s="71">
        <v>3</v>
      </c>
      <c r="B4" s="71" t="s">
        <v>278</v>
      </c>
      <c r="C4" s="71">
        <v>39</v>
      </c>
    </row>
    <row r="5" spans="1:5" ht="15.75" x14ac:dyDescent="0.25">
      <c r="A5" s="72">
        <v>4</v>
      </c>
      <c r="B5" s="72" t="s">
        <v>279</v>
      </c>
      <c r="C5" s="72">
        <v>91</v>
      </c>
    </row>
    <row r="6" spans="1:5" ht="15.75" x14ac:dyDescent="0.25">
      <c r="A6" s="71">
        <v>5</v>
      </c>
      <c r="B6" s="71" t="s">
        <v>280</v>
      </c>
      <c r="C6" s="71">
        <v>28</v>
      </c>
    </row>
    <row r="7" spans="1:5" ht="15.75" x14ac:dyDescent="0.25">
      <c r="A7" s="71">
        <v>6</v>
      </c>
      <c r="B7" s="67" t="s">
        <v>193</v>
      </c>
      <c r="C7" s="41">
        <v>28</v>
      </c>
    </row>
    <row r="8" spans="1:5" ht="15.75" x14ac:dyDescent="0.25">
      <c r="A8" s="72">
        <v>7</v>
      </c>
      <c r="B8" s="60" t="s">
        <v>193</v>
      </c>
      <c r="C8" s="41">
        <v>40</v>
      </c>
    </row>
    <row r="9" spans="1:5" ht="15.75" x14ac:dyDescent="0.25">
      <c r="A9" s="71">
        <v>8</v>
      </c>
      <c r="B9" s="61" t="s">
        <v>54</v>
      </c>
      <c r="C9" s="41">
        <v>66</v>
      </c>
    </row>
    <row r="10" spans="1:5" ht="15.75" x14ac:dyDescent="0.25">
      <c r="A10" s="72">
        <v>9</v>
      </c>
      <c r="B10" s="61" t="s">
        <v>58</v>
      </c>
      <c r="C10" s="41">
        <v>73</v>
      </c>
    </row>
    <row r="11" spans="1:5" ht="15.75" x14ac:dyDescent="0.25">
      <c r="A11" s="71">
        <v>10</v>
      </c>
      <c r="B11" s="61" t="s">
        <v>60</v>
      </c>
      <c r="C11" s="41">
        <v>50</v>
      </c>
    </row>
    <row r="12" spans="1:5" ht="15.75" x14ac:dyDescent="0.25">
      <c r="A12" s="71">
        <v>11</v>
      </c>
      <c r="B12" s="60" t="s">
        <v>225</v>
      </c>
      <c r="C12" s="41">
        <v>69</v>
      </c>
    </row>
    <row r="13" spans="1:5" ht="15.75" x14ac:dyDescent="0.25">
      <c r="A13" s="72">
        <v>12</v>
      </c>
      <c r="B13" s="60" t="s">
        <v>229</v>
      </c>
      <c r="C13" s="41">
        <v>40</v>
      </c>
    </row>
    <row r="14" spans="1:5" ht="15.75" x14ac:dyDescent="0.25">
      <c r="A14" s="71">
        <v>13</v>
      </c>
      <c r="B14" s="60" t="s">
        <v>190</v>
      </c>
      <c r="C14" s="41">
        <v>89</v>
      </c>
    </row>
    <row r="15" spans="1:5" ht="15.75" x14ac:dyDescent="0.25">
      <c r="A15" s="72">
        <v>14</v>
      </c>
      <c r="B15" s="60" t="s">
        <v>194</v>
      </c>
      <c r="C15" s="41">
        <v>54</v>
      </c>
    </row>
    <row r="16" spans="1:5" ht="15.75" x14ac:dyDescent="0.25">
      <c r="A16" s="71">
        <v>15</v>
      </c>
      <c r="B16" s="61" t="s">
        <v>55</v>
      </c>
      <c r="C16" s="41">
        <v>29</v>
      </c>
    </row>
    <row r="17" spans="1:3" ht="15.75" x14ac:dyDescent="0.25">
      <c r="A17" s="71">
        <v>16</v>
      </c>
      <c r="B17" s="61" t="s">
        <v>59</v>
      </c>
      <c r="C17" s="41">
        <v>31</v>
      </c>
    </row>
    <row r="18" spans="1:3" ht="15.75" x14ac:dyDescent="0.25">
      <c r="A18" s="72">
        <v>17</v>
      </c>
      <c r="B18" s="61" t="s">
        <v>232</v>
      </c>
      <c r="C18" s="41">
        <v>25</v>
      </c>
    </row>
    <row r="19" spans="1:3" ht="15.75" x14ac:dyDescent="0.25">
      <c r="A19" s="71">
        <v>18</v>
      </c>
      <c r="B19" s="60" t="s">
        <v>226</v>
      </c>
      <c r="C19" s="41">
        <v>44</v>
      </c>
    </row>
    <row r="20" spans="1:3" ht="15.75" x14ac:dyDescent="0.25">
      <c r="A20" s="72">
        <v>19</v>
      </c>
      <c r="B20" s="60" t="s">
        <v>227</v>
      </c>
      <c r="C20" s="41">
        <v>57</v>
      </c>
    </row>
    <row r="21" spans="1:3" ht="15.75" x14ac:dyDescent="0.25">
      <c r="A21" s="71">
        <v>20</v>
      </c>
      <c r="B21" s="60" t="s">
        <v>191</v>
      </c>
      <c r="C21" s="41">
        <v>40</v>
      </c>
    </row>
    <row r="22" spans="1:3" ht="15.75" x14ac:dyDescent="0.25">
      <c r="B22" s="70"/>
    </row>
    <row r="23" spans="1:3" x14ac:dyDescent="0.25">
      <c r="B23" s="61"/>
    </row>
    <row r="24" spans="1:3" x14ac:dyDescent="0.25">
      <c r="B24" s="61"/>
    </row>
  </sheetData>
  <conditionalFormatting sqref="C2:C21">
    <cfRule type="cellIs" dxfId="12" priority="1" operator="lessThan">
      <formula>40</formula>
    </cfRule>
    <cfRule type="cellIs" dxfId="11" priority="2" operator="greaterThan">
      <formula>75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3E11-8E65-4C57-A1AA-6BC886D81A2F}">
  <dimension ref="A1:D22"/>
  <sheetViews>
    <sheetView workbookViewId="0">
      <selection activeCell="D10" sqref="D10"/>
    </sheetView>
  </sheetViews>
  <sheetFormatPr defaultRowHeight="15" x14ac:dyDescent="0.25"/>
  <cols>
    <col min="1" max="1" width="16.5" customWidth="1"/>
    <col min="4" max="4" width="29.875" customWidth="1"/>
  </cols>
  <sheetData>
    <row r="1" spans="1:4" ht="15.75" x14ac:dyDescent="0.25">
      <c r="A1" s="78" t="s">
        <v>231</v>
      </c>
      <c r="B1" s="78" t="s">
        <v>62</v>
      </c>
      <c r="D1" s="82" t="s">
        <v>289</v>
      </c>
    </row>
    <row r="2" spans="1:4" ht="17.25" x14ac:dyDescent="0.25">
      <c r="A2" s="91" t="s">
        <v>281</v>
      </c>
      <c r="B2" s="91">
        <v>28000</v>
      </c>
      <c r="D2" s="30" t="s">
        <v>294</v>
      </c>
    </row>
    <row r="3" spans="1:4" ht="17.25" x14ac:dyDescent="0.25">
      <c r="A3" s="73" t="s">
        <v>282</v>
      </c>
      <c r="B3" s="73">
        <v>34000</v>
      </c>
      <c r="D3" s="30" t="s">
        <v>295</v>
      </c>
    </row>
    <row r="4" spans="1:4" ht="17.25" x14ac:dyDescent="0.25">
      <c r="A4" s="91" t="s">
        <v>283</v>
      </c>
      <c r="B4" s="91">
        <v>51000</v>
      </c>
      <c r="D4" s="30" t="s">
        <v>296</v>
      </c>
    </row>
    <row r="5" spans="1:4" ht="15.75" x14ac:dyDescent="0.25">
      <c r="A5" s="73" t="s">
        <v>284</v>
      </c>
      <c r="B5" s="73">
        <v>47000</v>
      </c>
    </row>
    <row r="6" spans="1:4" ht="15.75" x14ac:dyDescent="0.25">
      <c r="A6" s="91" t="s">
        <v>53</v>
      </c>
      <c r="B6" s="91">
        <v>29000</v>
      </c>
    </row>
    <row r="7" spans="1:4" ht="15.75" x14ac:dyDescent="0.25">
      <c r="A7" s="91" t="s">
        <v>280</v>
      </c>
      <c r="B7" s="92">
        <v>38491</v>
      </c>
    </row>
    <row r="8" spans="1:4" ht="15.75" x14ac:dyDescent="0.25">
      <c r="A8" s="73" t="s">
        <v>193</v>
      </c>
      <c r="B8" s="92">
        <v>16328</v>
      </c>
    </row>
    <row r="9" spans="1:4" ht="15.75" x14ac:dyDescent="0.25">
      <c r="A9" s="74" t="s">
        <v>193</v>
      </c>
      <c r="B9" s="92">
        <v>49300</v>
      </c>
    </row>
    <row r="10" spans="1:4" x14ac:dyDescent="0.25">
      <c r="A10" s="75" t="s">
        <v>54</v>
      </c>
      <c r="B10" s="92">
        <v>34855</v>
      </c>
    </row>
    <row r="11" spans="1:4" x14ac:dyDescent="0.25">
      <c r="A11" s="75" t="s">
        <v>58</v>
      </c>
      <c r="B11" s="92">
        <v>40282</v>
      </c>
    </row>
    <row r="12" spans="1:4" x14ac:dyDescent="0.25">
      <c r="A12" s="75" t="s">
        <v>60</v>
      </c>
      <c r="B12" s="92">
        <v>39196</v>
      </c>
    </row>
    <row r="13" spans="1:4" ht="15.75" x14ac:dyDescent="0.25">
      <c r="A13" s="74" t="s">
        <v>225</v>
      </c>
      <c r="B13" s="92">
        <v>33033</v>
      </c>
    </row>
    <row r="14" spans="1:4" ht="15.75" x14ac:dyDescent="0.25">
      <c r="A14" s="74" t="s">
        <v>229</v>
      </c>
      <c r="B14" s="92">
        <v>16790</v>
      </c>
    </row>
    <row r="15" spans="1:4" ht="15.75" x14ac:dyDescent="0.25">
      <c r="A15" s="74" t="s">
        <v>190</v>
      </c>
      <c r="B15" s="92">
        <v>45375</v>
      </c>
    </row>
    <row r="16" spans="1:4" ht="15.75" x14ac:dyDescent="0.25">
      <c r="A16" s="74" t="s">
        <v>194</v>
      </c>
      <c r="B16" s="92">
        <v>18039</v>
      </c>
    </row>
    <row r="17" spans="1:2" x14ac:dyDescent="0.25">
      <c r="A17" s="75" t="s">
        <v>55</v>
      </c>
      <c r="B17" s="92">
        <v>16555</v>
      </c>
    </row>
    <row r="18" spans="1:2" x14ac:dyDescent="0.25">
      <c r="A18" s="75" t="s">
        <v>59</v>
      </c>
      <c r="B18" s="92">
        <v>40878</v>
      </c>
    </row>
    <row r="19" spans="1:2" x14ac:dyDescent="0.25">
      <c r="A19" s="75" t="s">
        <v>232</v>
      </c>
      <c r="B19" s="92">
        <v>19696</v>
      </c>
    </row>
    <row r="20" spans="1:2" ht="15.75" x14ac:dyDescent="0.25">
      <c r="A20" s="74" t="s">
        <v>226</v>
      </c>
      <c r="B20" s="92">
        <v>23518</v>
      </c>
    </row>
    <row r="21" spans="1:2" ht="15.75" x14ac:dyDescent="0.25">
      <c r="A21" s="77"/>
    </row>
    <row r="22" spans="1:2" ht="15.75" x14ac:dyDescent="0.25">
      <c r="A22" s="76"/>
    </row>
  </sheetData>
  <conditionalFormatting sqref="B2:B20">
    <cfRule type="cellIs" dxfId="10" priority="1" operator="lessThan">
      <formula>30000</formula>
    </cfRule>
    <cfRule type="cellIs" dxfId="9" priority="2" operator="lessThan">
      <formula>50000</formula>
    </cfRule>
    <cfRule type="cellIs" dxfId="8" priority="3" operator="greaterThan">
      <formula>50000</formula>
    </cfRule>
    <cfRule type="cellIs" dxfId="7" priority="4" operator="less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Basic Data Entry</vt:lpstr>
      <vt:lpstr>BAsic Data Entry 2</vt:lpstr>
      <vt:lpstr>Sheet4</vt:lpstr>
      <vt:lpstr>task</vt:lpstr>
      <vt:lpstr>Sheet3</vt:lpstr>
      <vt:lpstr>Sheet5</vt:lpstr>
      <vt:lpstr>Sheet2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ASDC10</dc:creator>
  <cp:lastModifiedBy>ASDC10</cp:lastModifiedBy>
  <dcterms:created xsi:type="dcterms:W3CDTF">2015-06-05T18:17:20Z</dcterms:created>
  <dcterms:modified xsi:type="dcterms:W3CDTF">2026-01-25T07:10:46Z</dcterms:modified>
</cp:coreProperties>
</file>